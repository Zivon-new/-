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 firstSheet="18" activeTab="20"/>
  </bookViews>
  <sheets>
    <sheet name="国内-西班牙海运专线" sheetId="22" r:id="rId1"/>
    <sheet name="国内-新加坡&amp; 英国" sheetId="16" r:id="rId2"/>
    <sheet name="国内-澳门询价" sheetId="17" r:id="rId3"/>
    <sheet name="国内-澳洲" sheetId="18" r:id="rId4"/>
    <sheet name="国内-香港" sheetId="19" r:id="rId5"/>
    <sheet name="达拉斯-新加坡" sheetId="15" r:id="rId6"/>
    <sheet name="深圳-新加坡一般贸易" sheetId="10" r:id="rId7"/>
    <sheet name="深圳-新加坡专线成本" sheetId="11" r:id="rId8"/>
    <sheet name="国内-达拉斯贸代" sheetId="12" r:id="rId9"/>
    <sheet name="国内-法兰克福专线" sheetId="13" r:id="rId10"/>
    <sheet name="达拉斯-法兰克福" sheetId="14" r:id="rId11"/>
    <sheet name="香港-新加坡" sheetId="9" r:id="rId12"/>
    <sheet name="香港-马来-正清" sheetId="7" r:id="rId13"/>
    <sheet name="香港-马来-专线" sheetId="8" r:id="rId14"/>
    <sheet name="香港-菲律宾" sheetId="5" r:id="rId15"/>
    <sheet name="日本" sheetId="4" r:id="rId16"/>
    <sheet name="新加坡-柔佛" sheetId="3" r:id="rId17"/>
    <sheet name="北京-沙特" sheetId="2" r:id="rId18"/>
    <sheet name="国内-荷兰" sheetId="20" r:id="rId19"/>
    <sheet name="国内-荷兰2" sheetId="21" r:id="rId20"/>
    <sheet name="国内-越南" sheetId="23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CECE66807C2461AA43ADEFFCBBECC4A" descr="蓝鹰 专线赔偿标准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06240" y="2115820"/>
          <a:ext cx="4905375" cy="1266825"/>
        </a:xfrm>
        <a:prstGeom prst="rect">
          <a:avLst/>
        </a:prstGeom>
      </xdr:spPr>
    </xdr:pic>
  </etc:cellImage>
  <etc:cellImage>
    <xdr:pic>
      <xdr:nvPicPr>
        <xdr:cNvPr id="3" name="ID_5D860701509B4AC294249D86F8FBE954" descr="欧洲专线集团 赔偿标准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31480" y="4112260"/>
          <a:ext cx="10058400" cy="19805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<sst xmlns="http://schemas.openxmlformats.org/spreadsheetml/2006/main" count="629" uniqueCount="412">
  <si>
    <t>国内-西班牙海运专线 碱性电池 客户提供重量1740KGS</t>
  </si>
  <si>
    <t>代理</t>
  </si>
  <si>
    <t>融迅</t>
  </si>
  <si>
    <t>银顺达--仅合作过快递，未合作过专线</t>
  </si>
  <si>
    <t>欧洲专线集团--展会新加代理，未合作</t>
  </si>
  <si>
    <t>国内-西班牙海运专线</t>
  </si>
  <si>
    <t>货交深圳 3cbm/1740kg
海运运费CNY18/kg + 产品附加费CNY5/kg
地址不偏远，不超尺寸，不超重参考此报价
不超尺和不超重的标准：
长+宽+高&lt;300CM，单边不得超过120CM,最小尺寸为15CM*10CM*2CM；
MRW单件实重不超40KG，建议控制在25KG左右
尾端是当地物流派送，无卸货上楼、指定签收单、预约派送，如需上楼需要具体的尺寸和重量信息</t>
  </si>
  <si>
    <t>货交深圳，22/KG  海运双清包税到门，不卸货上楼</t>
  </si>
  <si>
    <r>
      <rPr>
        <sz val="9"/>
        <color rgb="FF000000"/>
        <rFont val="微软雅黑"/>
        <charset val="134"/>
      </rPr>
      <t>货交深圳，</t>
    </r>
    <r>
      <rPr>
        <b/>
        <sz val="9"/>
        <color rgb="FF000000"/>
        <rFont val="微软雅黑"/>
        <charset val="134"/>
      </rPr>
      <t>文件资质齐全可以出</t>
    </r>
    <r>
      <rPr>
        <sz val="9"/>
        <color rgb="FF000000"/>
        <rFont val="微软雅黑"/>
        <charset val="134"/>
      </rPr>
      <t>，双清包税到门，17/kg</t>
    </r>
  </si>
  <si>
    <t>按1740KGS合计</t>
  </si>
  <si>
    <t>备注</t>
  </si>
  <si>
    <t>尾端是当地物流派送，无卸货上楼、指定签收单、预约派送
不含：国内提货费，保险费，二次包装费，存储费、送货时的卡车等待费、停车费等，如产生其他费用实报实销</t>
  </si>
  <si>
    <t>不含：国内提货费，保险费，二次包装费，存储费、送货时的卡车等待费、卸货上楼费、停车费等，如产生其他费用实报实销</t>
  </si>
  <si>
    <r>
      <rPr>
        <b/>
        <sz val="9"/>
        <color rgb="FF000000"/>
        <rFont val="微软雅黑"/>
        <charset val="134"/>
      </rPr>
      <t>需要文件、资质齐全(MSDS等)</t>
    </r>
    <r>
      <rPr>
        <sz val="9"/>
        <color rgb="FF000000"/>
        <rFont val="微软雅黑"/>
        <charset val="134"/>
      </rPr>
      <t xml:space="preserve">
不含：国内提货费，保险费，二次包装费，存储费、送货时的卡车等待费、卸货上楼费、停车费等，如产生其他费用实报实销</t>
    </r>
  </si>
  <si>
    <t>时效</t>
  </si>
  <si>
    <t>约50-55天左右，受天气原因影响较大，有晚开船、晚到港的情况，如遇托班/海关查验时间顺延</t>
  </si>
  <si>
    <t>约45天左右，受天气原因影响较大，有晚开船、晚到港的情况，如遇托班/海关查验时间顺延</t>
  </si>
  <si>
    <t>赔付标准</t>
  </si>
  <si>
    <t>/</t>
  </si>
  <si>
    <t>电池专线赔偿标准：在运输过程中如货物丢失赔偿RMB40/kg，不退运费，尾程提取后丢失按照快递公司官方赔偿标准进行赔偿,最高不超过100美金/票</t>
  </si>
  <si>
    <t>2件展示柜/5.46cbm/910kg</t>
  </si>
  <si>
    <t>货值 100000</t>
  </si>
  <si>
    <t>货交深圳-新加坡：</t>
  </si>
  <si>
    <t>越海速达</t>
  </si>
  <si>
    <t>骐盛</t>
  </si>
  <si>
    <t>费用明细</t>
  </si>
  <si>
    <t>海运双清含税: 500元/cbm
不含卸货拆箱等
如需拆箱：500元*2=1000
运输时间：12-15个工作日左右
新加坡进口GST：9%</t>
  </si>
  <si>
    <t>海运双清含税: 
380RMB/CBM
不含卸货拆箱等
运输时间：近期船期乱，时效不稳定不做保证
新加坡进口GST：9%</t>
  </si>
  <si>
    <t>运费小计</t>
  </si>
  <si>
    <t>税-9%</t>
  </si>
  <si>
    <t>货交深圳-英国：</t>
  </si>
  <si>
    <t>拓宇</t>
  </si>
  <si>
    <t>海运双清含税: 
14.5/KG
开船后时效50天左右到
可以帮忙卸货、不能拆箱</t>
  </si>
  <si>
    <t>税-20%</t>
  </si>
  <si>
    <t>国内-澳门</t>
  </si>
  <si>
    <t>2件展示柜</t>
  </si>
  <si>
    <t>210*130*100</t>
  </si>
  <si>
    <t>粮食标本：</t>
  </si>
  <si>
    <t>3.68*3.68*3.68mm</t>
  </si>
  <si>
    <t>预估</t>
  </si>
  <si>
    <t>电子屏：</t>
  </si>
  <si>
    <t>61x35x1mm</t>
  </si>
  <si>
    <t xml:space="preserve"> 酿酒陶坛</t>
  </si>
  <si>
    <t>25*15*6 mm</t>
  </si>
  <si>
    <t>总重量：</t>
  </si>
  <si>
    <t>地址：</t>
  </si>
  <si>
    <t>澳门，地址：羅理基博士大馬路223-225號南光大廈一層</t>
  </si>
  <si>
    <t>一诺物流-新代理，未合作</t>
  </si>
  <si>
    <t>雄展货运--未合作，新代理</t>
  </si>
  <si>
    <t xml:space="preserve">运费：RMB 8/kg+500派送                      卸货:RMB 300/人/小时--按照2小时2人计算
拆包装: RMB 300/个木箱（如果有纸箱免费一起清）--按照2木箱计算
扔垃圾:RMB 600                                     需要送代理珠海仓库                                                         </t>
  </si>
  <si>
    <t>送到珠海仓：集运价格3元/kg，澳门派送费800元/次 卸货上楼并拆清费用：1200元</t>
  </si>
  <si>
    <t>小计：</t>
  </si>
  <si>
    <t>不含：</t>
  </si>
  <si>
    <t>保险费，查验费，待时费，国内转运费（天津-珠海），包装费</t>
  </si>
  <si>
    <t>时效：</t>
  </si>
  <si>
    <t>约2-3天，海关查验顺延</t>
  </si>
  <si>
    <t>约2天，海关查验顺延</t>
  </si>
  <si>
    <t>深圳-澳洲 海运专线</t>
  </si>
  <si>
    <t>澳凯-海运专线--新代理未合作</t>
  </si>
  <si>
    <t>蓝鹰-海运专线--新代理未合作</t>
  </si>
  <si>
    <t>澳洲-海运专线</t>
  </si>
  <si>
    <t>货交深圳
粮食标本不接，展板、电子屏、酿酒陶坛三个产品做一票
材积/6000
7/kg海运包税到门，超大件派送费500/票</t>
  </si>
  <si>
    <t>粮食标本不接
货交深圳，悉尼地址，人民币11/KG ,  超长费 300元一件， 超重费 300元一件， 尾板费500元一票</t>
  </si>
  <si>
    <t>展会货物建议尽早出运，以免遇到晚开船/查验等导致延误。
到货后不能指定日期&amp;时间签收，只能送到会展门口，尾端派送只负责卸货，不搬运至场地内部。
不含：国内提货费，保险费，包装费，存储费、送货时的卡车等待费、停车费等，如产生其他费用实报实销</t>
  </si>
  <si>
    <t>展会货物建议尽早出运，以免遇到晚开船/查验等导致延误。
只能送到会展门口，可以指定日期送货，不能指定时间段送货。
不含：国内提货费，保险费，包装费，存储费、送货时的卡车等待费、停车费等，如产生其他费用实报实销</t>
  </si>
  <si>
    <t>开船后25-30天左右签收，受天气原因影响较大，有晚开船、晚到港的情况，如遇托班/海关查验时间顺延</t>
  </si>
  <si>
    <t>开船后约25-35天左右到，海运受天气原因影响较大，有晚开船、晚到港的情况，如遇托班/海关查验时间顺延</t>
  </si>
  <si>
    <t>货物丢件 赔偿20/kg 不退运费</t>
  </si>
  <si>
    <t>深圳-香港 快件过港</t>
  </si>
  <si>
    <t>海阳中港</t>
  </si>
  <si>
    <t>香港-快件过港</t>
  </si>
  <si>
    <t>下港1.5/KG 走海运
粮食标本只能少量出，量大涉政，数量变多了需要重新确认。
交会展1700元，拆箱丢垃圾1000元，杂费实报实销</t>
  </si>
  <si>
    <t>展会货物建议尽早出运，以免遇到晚开船/查验等导致延误。
可以送到展馆，可以指定日期和时间段送货
不含：香港杂费实报实销，国内提货费，保险费，包装费，存储费、送货时的卡车等待费、停车费等，如产生其他费用实报实销</t>
  </si>
  <si>
    <t>约3-4个工作日过港（不含派送时间），如遇海关查验时间顺延，参考之前货物过港遇到查验退运，约2周左右重新发出</t>
  </si>
  <si>
    <t>达拉斯自建机房</t>
  </si>
  <si>
    <t>新加坡</t>
  </si>
  <si>
    <t>旧</t>
  </si>
  <si>
    <t>耗材</t>
  </si>
  <si>
    <t>CE88-D8CQ板卡</t>
  </si>
  <si>
    <t>达拉斯-新加坡</t>
  </si>
  <si>
    <t>快递方案</t>
  </si>
  <si>
    <t>重量：KG</t>
  </si>
  <si>
    <t>2个纸箱</t>
  </si>
  <si>
    <t>代理：</t>
  </si>
  <si>
    <t>融迅-快递+贸代方案</t>
  </si>
  <si>
    <t xml:space="preserve">提货费：USD300
上楼费：USD180
纸箱包装费：USD60/个
UPS快递费：USD450 预估的
操作费：SGD100
清关费：SGD100
出入库费：SGD45 （一进一出分开收费）
派送费：SGD180
上楼费：SGD180
GST: 9%                                        手续费： 65 SGD
不含仓储费和查验等费用
UPS有其他杂费收取 实报实销
</t>
  </si>
  <si>
    <t>税率：9%</t>
  </si>
  <si>
    <t>总计：（含税）</t>
  </si>
  <si>
    <t>保险费，海关查验费，仓储费，待时费，快递杂费实报实销</t>
  </si>
  <si>
    <t>提货+包装需要2-3天，快递4-6天， 清关+送货2-3天，全程：8-12天，海关查验顺延</t>
  </si>
  <si>
    <t>1.深圳-新加坡--一般贸易成本</t>
  </si>
  <si>
    <t>物流指定地址</t>
  </si>
  <si>
    <t>新加坡GS机房</t>
  </si>
  <si>
    <t>新</t>
  </si>
  <si>
    <t>网络设备</t>
  </si>
  <si>
    <t>Nokia 7750-SR-1（每台2块100G接口卡）</t>
  </si>
  <si>
    <t>OTNS8600-DCI8</t>
  </si>
  <si>
    <t>OTMT2光转换单元</t>
  </si>
  <si>
    <t>深圳-新加坡</t>
  </si>
  <si>
    <t>一般贸易过港+双清方案</t>
  </si>
  <si>
    <t xml:space="preserve">
BY HK CX RMB 25/KG  + 验电RMB 500
操作费RMB 200 
报关费RMB 300 +申报税200
香港杂费实报实销
注：请贴好电池标签交货
SIN local
报关费 SGD100
操作费 SGD0.3/KG; MIN SGD35
卡车费：SGD 180
人工&amp;卸货 SGD 180
拆包装和回收垃圾 SGD200
GST 9% (金额过大，需要提前预付）
代理税金操作费：65 SGD
</t>
  </si>
  <si>
    <t xml:space="preserve">如一般贸易过港，                         需要增加报关+过港费                    预计：CNY 4500.00                  运费：CNY 38.00                                预约：CNY 500.00                                 卸货上楼：CNY 500                          尺寸要求：80X80X120M，                      超40KG -500CNY                           
</t>
  </si>
  <si>
    <t>税金：0+9%</t>
  </si>
  <si>
    <t>汇损：4%</t>
  </si>
  <si>
    <t>保险费，海关查验费，国内转运费，二次包装费，新加坡仓储费，待时费，香港杂费实报实销</t>
  </si>
  <si>
    <t>保险费，海关查验费，国内转运费，二次包装费，香港杂费实报实销</t>
  </si>
  <si>
    <t>深圳-香港1-2天，香港-新加坡4-5天，全程：5-7天，海关查验顺延</t>
  </si>
  <si>
    <t>备注：一般贸易过港需要发票，箱单，品牌授权</t>
  </si>
  <si>
    <t>2.深圳-新加坡成本</t>
  </si>
  <si>
    <t>100G单模模块 QSFP28-100G-LR4(1310nm,10km,LC)</t>
  </si>
  <si>
    <t>100G多模模块 QSFP28-100G-SR4(850nm,0.1km,MPO)</t>
  </si>
  <si>
    <t>MPO（100g多模） 10m</t>
  </si>
  <si>
    <t>光纤跳线 单模（LC-LC）10m</t>
  </si>
  <si>
    <t>AOC（25g）5m</t>
  </si>
  <si>
    <t>标签纸A4</t>
  </si>
  <si>
    <t>理线架</t>
  </si>
  <si>
    <t>魔术贴</t>
  </si>
  <si>
    <t>扎带</t>
  </si>
  <si>
    <t>越海速达-双清</t>
  </si>
  <si>
    <t xml:space="preserve">运费：CNY 45.00/低于30KG                         预约：CNY 500.00                                 卸货上楼：CNY 500                          尺寸要求：80X80X120M， 不能超40KG                          
</t>
  </si>
  <si>
    <t>保险费，海关查验费，国内转运费，二次包装费，超重和超尺费</t>
  </si>
  <si>
    <t>起运后4-6天，海关查验顺延</t>
  </si>
  <si>
    <t>达拉斯DB1机房</t>
  </si>
  <si>
    <t>北京门头沟</t>
  </si>
  <si>
    <t>MPO（100g多模） 15m</t>
  </si>
  <si>
    <t>香港-达拉斯贸易代理方案：</t>
  </si>
  <si>
    <t>贸易代理方案：</t>
  </si>
  <si>
    <t>重量：</t>
  </si>
  <si>
    <t>kg</t>
  </si>
  <si>
    <t>DFW/HK EK/Q45/RMB84/KG/HKG-DXB-DFW</t>
  </si>
  <si>
    <t>操作费：RMB200</t>
  </si>
  <si>
    <t>报关费：RMB300</t>
  </si>
  <si>
    <r>
      <rPr>
        <sz val="10.5"/>
        <color rgb="FF000000"/>
        <rFont val="宋体"/>
        <charset val="134"/>
      </rPr>
      <t>验电费：</t>
    </r>
    <r>
      <rPr>
        <sz val="10.5"/>
        <color rgb="FF000000"/>
        <rFont val="Arial"/>
        <charset val="134"/>
      </rPr>
      <t xml:space="preserve"> RMB 500</t>
    </r>
  </si>
  <si>
    <t>香港杂费实报实销</t>
  </si>
  <si>
    <t>最低收费45kg</t>
  </si>
  <si>
    <t>小计</t>
  </si>
  <si>
    <t>DFW local</t>
  </si>
  <si>
    <r>
      <rPr>
        <sz val="10.5"/>
        <color rgb="FF000000"/>
        <rFont val="宋体"/>
        <charset val="134"/>
      </rPr>
      <t>报关费</t>
    </r>
    <r>
      <rPr>
        <sz val="10.5"/>
        <color rgb="FF000000"/>
        <rFont val="Arial"/>
        <charset val="134"/>
      </rPr>
      <t>USD150</t>
    </r>
  </si>
  <si>
    <r>
      <rPr>
        <sz val="10.5"/>
        <color rgb="FF000000"/>
        <rFont val="宋体"/>
        <charset val="134"/>
      </rPr>
      <t>航站费</t>
    </r>
    <r>
      <rPr>
        <sz val="10.5"/>
        <color rgb="FF000000"/>
        <rFont val="Arial"/>
        <charset val="134"/>
      </rPr>
      <t>USD280</t>
    </r>
  </si>
  <si>
    <t>贸易代理费USD200</t>
  </si>
  <si>
    <t>操作费USD45</t>
  </si>
  <si>
    <r>
      <rPr>
        <sz val="10.5"/>
        <color rgb="FF000000"/>
        <rFont val="宋体"/>
        <charset val="134"/>
      </rPr>
      <t>送货费</t>
    </r>
    <r>
      <rPr>
        <sz val="10.5"/>
        <color rgb="FF000000"/>
        <rFont val="Arial"/>
        <charset val="134"/>
      </rPr>
      <t>USD385</t>
    </r>
    <r>
      <rPr>
        <sz val="10.5"/>
        <color rgb="FF000000"/>
        <rFont val="宋体"/>
        <charset val="134"/>
      </rPr>
      <t>（预估，有具体地址后再确认）</t>
    </r>
  </si>
  <si>
    <r>
      <rPr>
        <sz val="10.5"/>
        <color rgb="FF000000"/>
        <rFont val="宋体"/>
        <charset val="134"/>
      </rPr>
      <t>人工费</t>
    </r>
    <r>
      <rPr>
        <sz val="10.5"/>
        <color rgb="FF000000"/>
        <rFont val="Arial"/>
        <charset val="134"/>
      </rPr>
      <t>USD200</t>
    </r>
  </si>
  <si>
    <t>仓储费实报实销</t>
  </si>
  <si>
    <t>待时费USD75/hr，1小时免费</t>
  </si>
  <si>
    <t>2hr</t>
  </si>
  <si>
    <t>美国费用小计</t>
  </si>
  <si>
    <t>合计 （不含保险+税金）</t>
  </si>
  <si>
    <t>两票货物如需一起到香港发运，预估增加4000.00</t>
  </si>
  <si>
    <t>税金实报实销</t>
  </si>
  <si>
    <t xml:space="preserve">路由器：20%+7.5%+0.3464% </t>
  </si>
  <si>
    <t>垫付手续费：</t>
  </si>
  <si>
    <t>不含包装费，北京提货费至深圳费用，不含周末清关提货费，不含回收垃圾的费用，保险费</t>
  </si>
  <si>
    <t>11月1日起，美国对中国原产征收100% 的关税，合计：127.8464%， 我们也在关注后续美金的税率。</t>
  </si>
  <si>
    <t>2. 报价明细：</t>
  </si>
  <si>
    <t>法兰克福DRT机房</t>
  </si>
  <si>
    <t>P616 光转换单元</t>
  </si>
  <si>
    <t>单模（LC-LC）10m</t>
  </si>
  <si>
    <t>网线5m</t>
  </si>
  <si>
    <t>北京门头沟库房</t>
  </si>
  <si>
    <t>C13-C14电源线</t>
  </si>
  <si>
    <t>庆阳远达云仓库房</t>
  </si>
  <si>
    <t>交换机</t>
  </si>
  <si>
    <t>CE6865E</t>
  </si>
  <si>
    <t>深圳-法兰克福</t>
  </si>
  <si>
    <t>双清模式</t>
  </si>
  <si>
    <t>融迅--双清含税报价</t>
  </si>
  <si>
    <t>深圳-法兰克福
货交深圳100kg左右
运费CNY68/kg + 操作费CNY200                                  
尾端派送专车+卸货：EUR 800  预估，最后有地址在更新
时效10-15个工作日左右</t>
  </si>
  <si>
    <t>报价为上面所有明细一起出的价格</t>
  </si>
  <si>
    <t>税率：</t>
  </si>
  <si>
    <t>0+19%</t>
  </si>
  <si>
    <t>保险费，包装费，国内转运费，海关查验费，仓储费，待时费</t>
  </si>
  <si>
    <t>全程15-20天，海关查验顺延</t>
  </si>
  <si>
    <t>货物信息：</t>
  </si>
  <si>
    <t>法兰克福</t>
  </si>
  <si>
    <t>5120-48Y</t>
  </si>
  <si>
    <t>达拉斯-法兰克福</t>
  </si>
  <si>
    <t>1纸箱</t>
  </si>
  <si>
    <t xml:space="preserve">提货费：USD300
上楼费：USD180
纸箱包装费：USD60/个
UPS快递费：USD350 预估的
调单费：EUR95
清关费：EUR115
操作费：EUR125
贸易代理费：EUR380
派送费：EUR280 预估的，拼车，不含卸货上楼
如果需要卸货上楼，需要准备地址： EUR 200 预估                                             不含仓储费和查验等费用
Duty和VAT实报实销
UPS有其他杂费收取 实报实销
</t>
  </si>
  <si>
    <t>8.4cny</t>
  </si>
  <si>
    <t>税率：19%</t>
  </si>
  <si>
    <t>汇损：</t>
  </si>
  <si>
    <t>提货+包装需要2-3天，快递4-6天，拼车时效：2-3天（从荷兰发运-德国法兰克福），全程：8-12天，海关查验顺延</t>
  </si>
  <si>
    <t xml:space="preserve">香港-新加坡 </t>
  </si>
  <si>
    <t>4PCS/100KG</t>
  </si>
  <si>
    <t>融迅-预估</t>
  </si>
  <si>
    <t xml:space="preserve">香港-新加坡  </t>
  </si>
  <si>
    <t xml:space="preserve">BY HK CX RMB 27/KG  
操作费RMB 150
报关费RMB 300 +申报税实报实销
香港杂费实报实销
注：请贴好电池标签交货
SIN local
报关费 SGD100
操作费 SGD0.3/KG; MIN SGD35
卡车费：SGD 200
人工&amp;卸货 SGD 200
拆包装和回收垃圾 SGD250
GST 9% (金额过大，需要提前预付）
不含仓储费，查验费，待时费等其他额外费用
</t>
  </si>
  <si>
    <t>税金： 9% 实报实销</t>
  </si>
  <si>
    <t>总计：</t>
  </si>
  <si>
    <t>起运后5-7 个工作日，海关查验顺延</t>
  </si>
  <si>
    <t>保险费，海关查验费，仓储费，待时费，验电费，香港杂费实报实销</t>
  </si>
  <si>
    <t>有效期：本周有效</t>
  </si>
  <si>
    <t>香港-马来方案</t>
  </si>
  <si>
    <t>10万港币</t>
  </si>
  <si>
    <t>TO KUL 45K BY HK MH RMB 26/KG 
操作费RMB 150
报关费RMB 300 +申报税200
香港杂费实报实销
注：请贴好电池标签交货  最低收费45KG
KUL local
报关费：USD35 （有收货人抬头）                      贸易代理费：USD180 （IF NEED)
文件费:  USD35
THC: USD0.3/kg, min USD45
送货费: USD150
卸货上楼费：USD150
如需回收垃圾 USD80
SIRIM：USD180/个
税金：实报实销（超过5万人民币需要预付）</t>
  </si>
  <si>
    <t>税率：0+5%</t>
  </si>
  <si>
    <t>汇损：6%</t>
  </si>
  <si>
    <t>文件：</t>
  </si>
  <si>
    <t>需要办理SIRIM， 英文说明书，发票，箱单，客户的账户密码，办理需要3-5个工作日</t>
  </si>
  <si>
    <t>保险费，海关查验费，仓储费，香港杂费实报实销，</t>
  </si>
  <si>
    <t>香港-马来-专线</t>
  </si>
  <si>
    <t>计费：30</t>
  </si>
  <si>
    <t>Level 12, Tower 2A Avenue 5 The Horizon Bangsar South , Kuala Lumpur , Malaysia</t>
  </si>
  <si>
    <t>启文</t>
  </si>
  <si>
    <t>香港-马来：</t>
  </si>
  <si>
    <t xml:space="preserve">RMB44/kg + 操作费RMB200
派送费MYR 450，不含回收垃圾
时效2-4个工作日，再转当地派送1-3个工作日
不含保险、香港本地杂费等
</t>
  </si>
  <si>
    <t xml:space="preserve">运费：CNY 30.00                                      尾程快递服务+不能指定签收单，只有快递截图             不含卸货，拆托+回收垃圾                                   </t>
  </si>
  <si>
    <t>1.7cny</t>
  </si>
  <si>
    <t xml:space="preserve">起运后：4-7个工作日左右，海关查验顺延                      </t>
  </si>
  <si>
    <t xml:space="preserve">起运后：5-7个工作日左右，海关查验顺延                              </t>
  </si>
  <si>
    <t>保险费，海关查验费，二次包装费，香港杂费实报实销，拆托+回收垃圾，不含香港提货，入仓登记费等</t>
  </si>
  <si>
    <t>有效期：</t>
  </si>
  <si>
    <t>本周有效</t>
  </si>
  <si>
    <t>专线有海关查验或者扣货风险，只能赔付运费，请知悉.</t>
  </si>
  <si>
    <t>香港-菲律宾马尼拉专线   4台Dell PowerEdge R7625  预估重量150KGS</t>
  </si>
  <si>
    <t>香港-菲律宾马尼拉专线</t>
  </si>
  <si>
    <t>深圳-香港操作费预估RMB 2500
如入朗华仓加收RMB 1500左右
货交香港，到菲律宾马尼拉，4PCS/150.0KG
RMB：RMB48/KG（基于散件不打托的价格，如果打托再另行报价）
操作费：RMB200
不含香港本地杂费，香港杂费实报实销
尾端是当地物流派送，做不了额外操作，无指定签收单，不含预约备案，卸货上楼回收垃圾等费用。如果需要的话，先按USD250+USD200预估，需要有具体地址后再确认</t>
  </si>
  <si>
    <r>
      <rPr>
        <sz val="9"/>
        <color rgb="FF000000"/>
        <rFont val="微软雅黑"/>
        <charset val="134"/>
      </rPr>
      <t>不含：二次包装费，保险费，存储费、送货时的卡车等待费、停车费等，</t>
    </r>
    <r>
      <rPr>
        <b/>
        <sz val="9"/>
        <color rgb="FF000000"/>
        <rFont val="微软雅黑"/>
        <charset val="134"/>
      </rPr>
      <t>无签收单，</t>
    </r>
    <r>
      <rPr>
        <sz val="9"/>
        <color rgb="FF000000"/>
        <rFont val="微软雅黑"/>
        <charset val="134"/>
      </rPr>
      <t>如产生其他费用实报实销</t>
    </r>
  </si>
  <si>
    <t>约6-8工作日，如遇海关查验时间顺延</t>
  </si>
  <si>
    <t>税率</t>
  </si>
  <si>
    <t>诚哥建议税率
服务器出口菲律宾 HS CODE：8471.50.90 关税：0.00% 增值税12.50%</t>
  </si>
  <si>
    <t>客户提供货值</t>
  </si>
  <si>
    <t>深圳-香港-日本</t>
  </si>
  <si>
    <t>200万人民币</t>
  </si>
  <si>
    <t>一般贸易正清</t>
  </si>
  <si>
    <t>重量：散货KG</t>
  </si>
  <si>
    <t>托盘KG</t>
  </si>
  <si>
    <t>嘉里</t>
  </si>
  <si>
    <t>费用明细：</t>
  </si>
  <si>
    <t xml:space="preserve">深圳-香港：RMB 5500（ 整车费用预估）                               运费：RMB 12.97/KG                 出口清关+杂费：RMB 1775                                               </t>
  </si>
  <si>
    <t xml:space="preserve">CNY2700/12T车
舱单费:CNY100/票
深圳报关费:CNY300
香港清关费:CNY300+申报税 200预估
卸货费:CNY0.55/kg 或者 CNY120/板
香港入仓费，停车费和隧道费等香港本地杂费实报实销 预估1000 左右
TO NRT 2600K 15CBM BY HK CX CNY17/K
验电费CNY500
报关费CNY300+申报税200 预估
</t>
  </si>
  <si>
    <r>
      <rPr>
        <sz val="11"/>
        <color theme="1"/>
        <rFont val="宋体"/>
        <charset val="134"/>
        <scheme val="minor"/>
      </rPr>
      <t xml:space="preserve">目的港清关+杂费：RMB 2400              派送： RMB 5.7/KG MIN 3360 RMB             </t>
    </r>
    <r>
      <rPr>
        <sz val="11"/>
        <color rgb="FFFF0000"/>
        <rFont val="宋体"/>
        <charset val="134"/>
        <scheme val="minor"/>
      </rPr>
      <t xml:space="preserve">等有了最终送货地址和货物信息后再确认  </t>
    </r>
    <r>
      <rPr>
        <sz val="11"/>
        <color theme="1"/>
        <rFont val="宋体"/>
        <charset val="134"/>
        <scheme val="minor"/>
      </rPr>
      <t xml:space="preserve"> 卸货：RMB 70/台                            仓储费：1.5/天/KG        （免3天）  </t>
    </r>
  </si>
  <si>
    <r>
      <rPr>
        <sz val="11"/>
        <color theme="1"/>
        <rFont val="宋体"/>
        <charset val="134"/>
        <scheme val="minor"/>
      </rPr>
      <t>通关费:JPY12800/entry(包含两个税号)
通关手续费:JPY11000/entry
机场保税仓费用:实报实销
THC: JPY48/kg，min JPY6500，按分单收费
操作费: JPY15000/hawb
贸易代理费：货值*3.5%，min JPY35000（如需）
消费税，进口关税:实报实销
提派费：JPY399800 预估的，</t>
    </r>
    <r>
      <rPr>
        <sz val="11"/>
        <color rgb="FFFF0000"/>
        <rFont val="宋体"/>
        <charset val="134"/>
        <scheme val="minor"/>
      </rPr>
      <t>等有了最终送货地址和货物信息后再确认</t>
    </r>
    <r>
      <rPr>
        <sz val="11"/>
        <color theme="1"/>
        <rFont val="宋体"/>
        <charset val="134"/>
        <scheme val="minor"/>
      </rPr>
      <t xml:space="preserve">
Hand lift: JPY6000/台（现场没有叉车和Hand lift时需要用）-2台计算
送上楼：JPY35000/人*4 人
如果需要处理包装，根据实际情况再报价吧
</t>
    </r>
  </si>
  <si>
    <t>8天 100台</t>
  </si>
  <si>
    <t>小计：托盘计算</t>
  </si>
  <si>
    <t>税率：0+10% 实报实销</t>
  </si>
  <si>
    <t>汇损：实报实销</t>
  </si>
  <si>
    <t>总计：（托盘+税金）</t>
  </si>
  <si>
    <t>保险费，国内中转费，香港杂费实报实销，不含日本拆托+回收垃圾，待时费,海关查验费</t>
  </si>
  <si>
    <t>保险费，国内中转费，香港杂费实报实销，不含日本拆托+回收垃圾，待时费,海关查验费，机场保税仓费用,仓储费</t>
  </si>
  <si>
    <t>深圳-香港预计2天时间，香港-日本预计4-6天，预计全程6-8天，海关查验顺延</t>
  </si>
  <si>
    <t>发票，箱单，POA， 不需要其他认证</t>
  </si>
  <si>
    <t>搬迁数量</t>
  </si>
  <si>
    <t>搬出地点：</t>
  </si>
  <si>
    <t>搬入地点：</t>
  </si>
  <si>
    <t>马来西亚柔佛州新山市</t>
  </si>
  <si>
    <t>汇率SGD</t>
  </si>
  <si>
    <t>货币：USD</t>
  </si>
  <si>
    <t>报价测算</t>
  </si>
  <si>
    <t>收费说明</t>
  </si>
  <si>
    <t>汇率USD</t>
  </si>
  <si>
    <t>1、新加坡-&gt;马来西亚费用：</t>
  </si>
  <si>
    <t>SGD</t>
  </si>
  <si>
    <t>USD</t>
  </si>
  <si>
    <t>物流费（陆运）</t>
  </si>
  <si>
    <t>USD780/40GP
USD620/20GP</t>
  </si>
  <si>
    <t>2个40尺柜车，22个箱子一车，20尺装11个箱子</t>
  </si>
  <si>
    <t>木托+减震</t>
  </si>
  <si>
    <t>SGD50/木托</t>
  </si>
  <si>
    <r>
      <rPr>
        <sz val="14"/>
        <rFont val="Arial"/>
        <charset val="134"/>
      </rPr>
      <t>7</t>
    </r>
    <r>
      <rPr>
        <sz val="14"/>
        <rFont val="宋体"/>
        <charset val="134"/>
      </rPr>
      <t>个托盘预估</t>
    </r>
  </si>
  <si>
    <t>包装费</t>
  </si>
  <si>
    <t>SGD60/木箱</t>
  </si>
  <si>
    <t>装可回收利用木箱</t>
  </si>
  <si>
    <t>托盘包装不产生</t>
  </si>
  <si>
    <t>木箱费</t>
  </si>
  <si>
    <t>SGD480/木箱</t>
  </si>
  <si>
    <t>制作可回收利用木箱</t>
  </si>
  <si>
    <t>木箱仓储费</t>
  </si>
  <si>
    <t>SGD400/月</t>
  </si>
  <si>
    <t>50个木箱存储费，按天计算，按累计月收费</t>
  </si>
  <si>
    <t>操作费</t>
  </si>
  <si>
    <t>SGD100</t>
  </si>
  <si>
    <t>贸易代理费</t>
  </si>
  <si>
    <t>提货费</t>
  </si>
  <si>
    <t>1U SGD9/台
2U SGD12/台
3U SGD15/台
4U SGD18/台
8U SGD30/台
16U SGD300/台</t>
  </si>
  <si>
    <t>提货+人工（2U的设备摞放6层，4U设备+2U叠放，8U和16U放单层）</t>
  </si>
  <si>
    <t>出口报关费</t>
  </si>
  <si>
    <t>一次性下架短驳费用</t>
  </si>
  <si>
    <t>SGD200/22托</t>
  </si>
  <si>
    <t>货物就近短驳入库</t>
  </si>
  <si>
    <t>仓储费</t>
  </si>
  <si>
    <t>1.5SGD/拖/天</t>
  </si>
  <si>
    <t>库房免费3天</t>
  </si>
  <si>
    <t>按一周预估</t>
  </si>
  <si>
    <t>出入库费</t>
  </si>
  <si>
    <t>SGD3.5/拖*2</t>
  </si>
  <si>
    <t>出入库各收一次</t>
  </si>
  <si>
    <t>新加坡VAT 9%</t>
  </si>
  <si>
    <t>加9%</t>
  </si>
  <si>
    <t>本地杂费需要加9%，过境卡车运输不需要</t>
  </si>
  <si>
    <t>2、马来西亚费用：</t>
  </si>
  <si>
    <t>报关费</t>
  </si>
  <si>
    <t>USD50/票</t>
  </si>
  <si>
    <t>USD100/票</t>
  </si>
  <si>
    <t>如果需要</t>
  </si>
  <si>
    <t>SIRIM办理</t>
  </si>
  <si>
    <t>USD100/品名，Max USD300/票</t>
  </si>
  <si>
    <t>回收垃圾费</t>
  </si>
  <si>
    <t>USD100/车</t>
  </si>
  <si>
    <t>工程师装卸，工人回收垃圾和木箱</t>
  </si>
  <si>
    <t>等时费</t>
  </si>
  <si>
    <t>USD50/车/小时</t>
  </si>
  <si>
    <t>免费等待4小时，超过收取</t>
  </si>
  <si>
    <t>按不产生预估</t>
  </si>
  <si>
    <t>回收木箱费</t>
  </si>
  <si>
    <t>USD550/车</t>
  </si>
  <si>
    <t>回收木箱送回新加坡</t>
  </si>
  <si>
    <t>次日二次派送费</t>
  </si>
  <si>
    <t>USD450/车</t>
  </si>
  <si>
    <t>包括出入库USD100,次日派送费及回收垃圾木箱，如果需要</t>
  </si>
  <si>
    <t>仓储费-空木箱</t>
  </si>
  <si>
    <t>USD250/月</t>
  </si>
  <si>
    <t>空木箱存储</t>
  </si>
  <si>
    <t>仓储费-设备</t>
  </si>
  <si>
    <t>USD1/拖/天</t>
  </si>
  <si>
    <t>马来西亚空木箱出口报关</t>
  </si>
  <si>
    <t>马来西亚空木箱贸易代理</t>
  </si>
  <si>
    <t>3、木箱回运新加坡费用</t>
  </si>
  <si>
    <t>SGD100/票</t>
  </si>
  <si>
    <t>贸易代理</t>
  </si>
  <si>
    <t>进口报关费</t>
  </si>
  <si>
    <t>木箱GST</t>
  </si>
  <si>
    <t>9%</t>
  </si>
  <si>
    <t>可以按1个木箱50申报</t>
  </si>
  <si>
    <t>新加坡装卸入库</t>
  </si>
  <si>
    <t>SGD100/车</t>
  </si>
  <si>
    <t>4、海关验费</t>
  </si>
  <si>
    <t>物流费</t>
  </si>
  <si>
    <t>USD100</t>
  </si>
  <si>
    <t>如果发生</t>
  </si>
  <si>
    <t>未算入总计</t>
  </si>
  <si>
    <t>海关查验费用</t>
  </si>
  <si>
    <t>送检扣仓费用</t>
  </si>
  <si>
    <t>实报实销</t>
  </si>
  <si>
    <t>海关指定机构检测费用</t>
  </si>
  <si>
    <t>服务SST 5%</t>
  </si>
  <si>
    <t>按实际产生，见下方税率预估</t>
  </si>
  <si>
    <t>总计运费</t>
  </si>
  <si>
    <t>不含税金和保险，如改为木箱包装将多产生RMB10000左右的费用</t>
  </si>
  <si>
    <t>税率（服务器按USD1000/台，服务器按USD500/台预算），加5%汇损</t>
  </si>
  <si>
    <t>备注：1.不含马来和新加坡存储费及海关查验产生的费用等。）</t>
  </si>
  <si>
    <t>货值太低，周总目前再问马来货值能否报这么低，这么多旧货海关查到也有一定风险，</t>
  </si>
  <si>
    <t>运输时间9-12天，如提前申请sirim许可证可以提速到4个工作日左右（如遇海关查验时间顺延），申请sirim （需要箱单、发票、产品英文说明书办理许可证）</t>
  </si>
  <si>
    <t>模块税率20%（10月22日尝试按5%申报），光纤10%，网线40%，设备5%</t>
  </si>
  <si>
    <t>北京-沙特 宣传册&amp;伴手礼 客户提供重量120KGS</t>
  </si>
  <si>
    <t>银顺达--专线方案</t>
  </si>
  <si>
    <t>银顺达--快递方案</t>
  </si>
  <si>
    <r>
      <rPr>
        <b/>
        <sz val="9"/>
        <color theme="1"/>
        <rFont val="微软雅黑"/>
        <charset val="134"/>
      </rPr>
      <t>双清包税专线，无牌不侵权：</t>
    </r>
    <r>
      <rPr>
        <sz val="9"/>
        <color theme="1"/>
        <rFont val="微软雅黑"/>
        <charset val="134"/>
      </rPr>
      <t xml:space="preserve">
货交深圳，55元每公斤+派送费：800元   空派双清包税
只能送展会门口，可以指定日期送货</t>
    </r>
  </si>
  <si>
    <r>
      <rPr>
        <b/>
        <sz val="9"/>
        <color theme="1"/>
        <rFont val="微软雅黑"/>
        <charset val="134"/>
      </rPr>
      <t xml:space="preserve">快递方案：
</t>
    </r>
    <r>
      <rPr>
        <sz val="9"/>
        <color theme="1"/>
        <rFont val="微软雅黑"/>
        <charset val="134"/>
      </rPr>
      <t>货交深圳，DHL 64/KG，需要收件人清关缴税
只能送展会门口，不可以指定日期送货</t>
    </r>
  </si>
  <si>
    <t>北京-深圳的运输费用，保险费，二次包装费，存储费，送货时的卡车等待费、停车费、回收垃圾的费用，及海关查验产生的相关费用等，如产生其他费用实报实销</t>
  </si>
  <si>
    <r>
      <rPr>
        <b/>
        <sz val="9"/>
        <color theme="1"/>
        <rFont val="微软雅黑"/>
        <charset val="134"/>
      </rPr>
      <t>快递方案需要收货人配合清关、缴税以及提供所需文件</t>
    </r>
    <r>
      <rPr>
        <sz val="9"/>
        <color theme="1"/>
        <rFont val="微软雅黑"/>
        <charset val="134"/>
      </rPr>
      <t xml:space="preserve">
北京-深圳的运输费用，保险费，二次包装费，存储费，送货时的卡车等待费、停车费、回收垃圾的费用，及海关查验产生的相关费用等，如产生其他费用实报实销</t>
    </r>
  </si>
  <si>
    <t>双清包税专线：12-15天左右
展会物资需要提前，不保证时效，如遇海关查验时间顺延</t>
  </si>
  <si>
    <t>DHL：  6天左右
展会物资需要提前，不保证时效，如遇海关查验时间顺延</t>
  </si>
  <si>
    <t>诚哥建议税号如下，有汇损，实报实销，以快递公司税单为准
宣传册 原产地：中国 出口至沙特 HS CODE：49.01.99.90.00.00 关税：0.00% 增值税：15.00%
丝巾 原产地：中国 出口至沙特 HS CODE：62.14.10.00.00.00 关税：5.00% 增值税：15.00%
丝绸扇子 原产地：中国 出口至沙特 HS CODE：63.07.90.99.00.00 关税：5.00% 增值税：15.00%
剪纸画轴 原产地：中国 出口至沙特 HS CODE：48.22.90.00.00.00 关税：5.00% 增值税：15.00%</t>
  </si>
  <si>
    <t>赔偿标准</t>
  </si>
  <si>
    <t>不退运费，40/KG</t>
  </si>
  <si>
    <t>国内-荷兰： 多信达</t>
  </si>
  <si>
    <t>按照您产品尺寸计算体积重是10.1公斤</t>
  </si>
  <si>
    <t>2台*10.1=20.2公斤</t>
  </si>
  <si>
    <t>荷兰双清包税派送上门运费：21*76=1596元</t>
  </si>
  <si>
    <t>空运时效：7-12个工作日</t>
  </si>
  <si>
    <t>香港运费：21*20=420元</t>
  </si>
  <si>
    <t>时效：3天左右</t>
  </si>
  <si>
    <t>银顺达：</t>
  </si>
  <si>
    <t xml:space="preserve">荷兰 12KG 带电   980 空派双清包税到门 12天左右 </t>
  </si>
  <si>
    <t>香港的你们发顺丰就可以了</t>
  </si>
  <si>
    <t>融讯：参考费用如下：</t>
  </si>
  <si>
    <t>货交深圳 45kg</t>
  </si>
  <si>
    <t>AMS/HK EK/Q45/RMB57.5/KG/HKG-DXB-AMS</t>
  </si>
  <si>
    <t>报关费：RMB300+申报税实报实销</t>
  </si>
  <si>
    <t>注：请贴好电池标签交货</t>
  </si>
  <si>
    <t>最低计费45kg</t>
  </si>
  <si>
    <t>AMS local</t>
  </si>
  <si>
    <t>THC: min EUR245</t>
  </si>
  <si>
    <t>文件费：EUR150</t>
  </si>
  <si>
    <t>清关费：EUR95   （EUR8/EXTRA HS CODE）</t>
  </si>
  <si>
    <t>贸易代理费：EUR380 </t>
  </si>
  <si>
    <t>操作费：EUR120</t>
  </si>
  <si>
    <t>派送费：EUR360+EUR150人工费</t>
  </si>
  <si>
    <t>查验费：实报实销 + 服务费EUR200/次</t>
  </si>
  <si>
    <t>其他费用如产生实报实销</t>
  </si>
  <si>
    <t>专线银顺达：</t>
  </si>
  <si>
    <t>荷兰 12KG 带电   980 空派双清包税到门 12天左右 （倒推82/kg)</t>
  </si>
  <si>
    <t>多信达：荷兰双清包税派送上门运费：76/kg</t>
  </si>
  <si>
    <t>第一批： 第一批在上海（长雨伞和短雨伞）</t>
  </si>
  <si>
    <t>上海-越南</t>
  </si>
  <si>
    <t>实际重量</t>
  </si>
  <si>
    <t>KGS</t>
  </si>
  <si>
    <t>华平  专线   协议过期，未合作过</t>
  </si>
  <si>
    <t>越海专线</t>
  </si>
  <si>
    <t>华平--正清</t>
  </si>
  <si>
    <t>彩鹤提货费：首重1KG10RMB，1001KG以上，1.3RMB/KGS，跨越直提直送</t>
  </si>
  <si>
    <t>提货费合计</t>
  </si>
  <si>
    <t>双清（需送到代理仓）
重货：2.5元/KG
兴安派送费150元/票</t>
  </si>
  <si>
    <t>资料费1500一票，单价4.5/KGS，含税
不含保险费，需要提供货值</t>
  </si>
  <si>
    <r>
      <rPr>
        <sz val="9"/>
        <color theme="1"/>
        <rFont val="宋体"/>
        <charset val="134"/>
        <scheme val="minor"/>
      </rPr>
      <t xml:space="preserve">需送货至代理仓库
国内报关费：400RMB
送货费：200-500元
国外清关费：200USD
40尺柜*2 ：12000RMB*2  如装不下费用上涨， 需工厂装货
所有费用以最终实际为准
</t>
    </r>
    <r>
      <rPr>
        <sz val="9"/>
        <color rgb="FFFF0000"/>
        <rFont val="宋体"/>
        <charset val="134"/>
        <scheme val="minor"/>
      </rPr>
      <t>收货人缴纳， 如上报价不含税金
不含保险费，需要提供货值</t>
    </r>
  </si>
  <si>
    <t>陆运灰清的，未购买保险，丢失按运费3-5倍赔偿，如果需要，保险可以按货值3%购买，如果丢失，全赔。</t>
  </si>
  <si>
    <t>不赔付</t>
  </si>
  <si>
    <t xml:space="preserve">正清出口所需文件：发票箱单 授权委托书， 申报要素等全套清关文件
越南进口：需提前签署POA及其他清关文件
</t>
  </si>
  <si>
    <t>不含</t>
  </si>
  <si>
    <t>不含保险费，需要提供货值/卸货费/二次包装费及其他实报实销费用</t>
  </si>
  <si>
    <t>不含国外税金，保险费，需要提供货值/卸货费/二次包装费及其他实报实销费用</t>
  </si>
  <si>
    <t>专线10-12工作日左右， 不提供税单等文件
一般贸易出口放行后10-12工作日左右
如海关查验时间顺延</t>
  </si>
  <si>
    <t>第2批： 第一批在深圳（风扇）</t>
  </si>
  <si>
    <t>深圳-越南</t>
  </si>
  <si>
    <t xml:space="preserve">彩鹤  专车  2000/8t  需要3个车  成本6000左右 </t>
  </si>
  <si>
    <t>灰清包税（需送到代理仓）
-散拼--带电池
重货：3元/KG
兴安派送费150元/票</t>
  </si>
  <si>
    <t>彩鹤提货费：首重1KG价格，1001KG以上，1.3RMB/KGS
资料费1500一票，单价4.5/KGS，含税</t>
  </si>
  <si>
    <r>
      <rPr>
        <sz val="11"/>
        <color theme="1"/>
        <rFont val="宋体"/>
        <charset val="134"/>
        <scheme val="minor"/>
      </rPr>
      <t xml:space="preserve">国内报关费：400RMB
送货费：200-500元
国外清关费：200USD
40尺柜*2 ：12000RMB*2  如装不下费用上涨， 需工厂装货
所有费用以最终实际为准
</t>
    </r>
    <r>
      <rPr>
        <sz val="11"/>
        <color rgb="FFFF0000"/>
        <rFont val="宋体"/>
        <charset val="134"/>
        <scheme val="minor"/>
      </rPr>
      <t>税金实报实销， 请收货人缴纳， 如上报价不含税金（客户没提供货值）</t>
    </r>
  </si>
  <si>
    <r>
      <rPr>
        <sz val="9"/>
        <color rgb="FFFF0000"/>
        <rFont val="宋体"/>
        <charset val="134"/>
        <scheme val="minor"/>
      </rPr>
      <t>正清出口</t>
    </r>
    <r>
      <rPr>
        <sz val="9"/>
        <color theme="1"/>
        <rFont val="宋体"/>
        <charset val="134"/>
        <scheme val="minor"/>
      </rPr>
      <t xml:space="preserve">：发票箱单 授权委托书， 申报要素等全套清关文件，电池需要msds+陆运运输鉴定书（需要发货前先提供审核）
</t>
    </r>
    <r>
      <rPr>
        <sz val="9"/>
        <color rgb="FFFF0000"/>
        <rFont val="宋体"/>
        <charset val="134"/>
        <scheme val="minor"/>
      </rPr>
      <t>越南进口</t>
    </r>
    <r>
      <rPr>
        <sz val="9"/>
        <color theme="1"/>
        <rFont val="宋体"/>
        <charset val="134"/>
        <scheme val="minor"/>
      </rPr>
      <t>：需提前签署POA及其他清关文件
风扇越南需要做商检， 客户收货人做好， 如海关有其他要求也许配合</t>
    </r>
  </si>
  <si>
    <t>专线10-12工作日左右， 不提供税单等文件， 以实际为准
一般贸易出口放行后10-12工作日左右，以实际为准
如海关查验时间顺延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</si>
</sst>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;[$CNY]\ \-#,##0.00"/>
    <numFmt numFmtId="177" formatCode="_(* #,##0_);_(* \(#,##0\);_(* &quot;-&quot;??_);_(@_)"/>
    <numFmt numFmtId="178" formatCode="_(* #,##0.00_);_(* \(#,##0.00\);_(* &quot;-&quot;??_);_(@_)"/>
    <numFmt numFmtId="179" formatCode="\¥#,##0.00;\¥\-#,##0.00"/>
    <numFmt numFmtId="180" formatCode="&quot;US$&quot;#,##0.00;\-&quot;US$&quot;#,##0.00"/>
    <numFmt numFmtId="181" formatCode="&quot;￥&quot;#,##0.00_);[Red]\(&quot;￥&quot;#,##0.00\)"/>
    <numFmt numFmtId="182" formatCode="0_);[Red]\(0\)"/>
    <numFmt numFmtId="183" formatCode="\¥#,##0.00_);[Red]\(\¥#,##0.00\)"/>
  </numFmts>
  <fonts count="6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4"/>
      <name val="Arial"/>
      <charset val="134"/>
    </font>
    <font>
      <sz val="14"/>
      <name val="宋体"/>
      <charset val="134"/>
    </font>
    <font>
      <b/>
      <sz val="14"/>
      <color rgb="FF16365C"/>
      <name val="宋体"/>
      <charset val="134"/>
    </font>
    <font>
      <b/>
      <sz val="14"/>
      <color rgb="FF404040"/>
      <name val="仿宋"/>
      <charset val="134"/>
    </font>
    <font>
      <sz val="14"/>
      <color rgb="FF000000"/>
      <name val="仿宋"/>
      <charset val="134"/>
    </font>
    <font>
      <b/>
      <sz val="14"/>
      <name val="仿宋"/>
      <charset val="134"/>
    </font>
    <font>
      <sz val="14"/>
      <name val="仿宋"/>
      <charset val="134"/>
    </font>
    <font>
      <sz val="14"/>
      <color rgb="FFFF0000"/>
      <name val="仿宋"/>
      <charset val="134"/>
    </font>
    <font>
      <b/>
      <sz val="14"/>
      <color rgb="FF000000"/>
      <name val="仿宋"/>
      <charset val="134"/>
    </font>
    <font>
      <b/>
      <sz val="14"/>
      <color rgb="FFFF0000"/>
      <name val="仿宋"/>
      <charset val="134"/>
    </font>
    <font>
      <sz val="14"/>
      <color rgb="FFFF0000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sz val="10"/>
      <color rgb="FFFF0000"/>
      <name val="宋体"/>
      <charset val="134"/>
    </font>
    <font>
      <b/>
      <sz val="12"/>
      <name val="宋体"/>
      <charset val="134"/>
    </font>
    <font>
      <b/>
      <sz val="12"/>
      <name val="Arial"/>
      <charset val="134"/>
    </font>
    <font>
      <sz val="10"/>
      <name val="Arial"/>
      <charset val="134"/>
    </font>
    <font>
      <b/>
      <sz val="12"/>
      <color rgb="FFFF0000"/>
      <name val="宋体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4"/>
      <name val="Arial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10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b/>
      <sz val="11"/>
      <name val="宋体"/>
      <charset val="134"/>
      <scheme val="minor"/>
    </font>
    <font>
      <sz val="10.5"/>
      <color rgb="FF000000"/>
      <name val="Arial"/>
      <charset val="134"/>
    </font>
    <font>
      <sz val="10.5"/>
      <color theme="8" tint="-0.25"/>
      <name val="宋体"/>
      <charset val="134"/>
    </font>
    <font>
      <b/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2" borderId="27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0" borderId="29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3" borderId="30" applyNumberFormat="0" applyAlignment="0" applyProtection="0">
      <alignment vertical="center"/>
    </xf>
    <xf numFmtId="0" fontId="51" fillId="14" borderId="31" applyNumberFormat="0" applyAlignment="0" applyProtection="0">
      <alignment vertical="center"/>
    </xf>
    <xf numFmtId="0" fontId="52" fillId="14" borderId="30" applyNumberFormat="0" applyAlignment="0" applyProtection="0">
      <alignment vertical="center"/>
    </xf>
    <xf numFmtId="0" fontId="53" fillId="15" borderId="32" applyNumberFormat="0" applyAlignment="0" applyProtection="0">
      <alignment vertical="center"/>
    </xf>
    <xf numFmtId="0" fontId="54" fillId="0" borderId="33" applyNumberFormat="0" applyFill="0" applyAlignment="0" applyProtection="0">
      <alignment vertical="center"/>
    </xf>
    <xf numFmtId="0" fontId="55" fillId="0" borderId="34" applyNumberFormat="0" applyFill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left" vertical="center"/>
    </xf>
    <xf numFmtId="176" fontId="1" fillId="2" borderId="4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176" fontId="0" fillId="3" borderId="2" xfId="0" applyNumberFormat="1" applyFill="1" applyBorder="1" applyAlignment="1">
      <alignment horizontal="left" vertical="center"/>
    </xf>
    <xf numFmtId="176" fontId="0" fillId="3" borderId="3" xfId="0" applyNumberFormat="1" applyFill="1" applyBorder="1" applyAlignment="1">
      <alignment horizontal="left" vertical="center"/>
    </xf>
    <xf numFmtId="176" fontId="0" fillId="3" borderId="4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176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5" borderId="6" xfId="0" applyFont="1" applyFill="1" applyBorder="1" applyAlignment="1">
      <alignment vertical="center"/>
    </xf>
    <xf numFmtId="177" fontId="8" fillId="0" borderId="7" xfId="1" applyNumberFormat="1" applyFont="1" applyFill="1" applyBorder="1" applyAlignment="1" applyProtection="1">
      <alignment horizontal="center" vertical="center" wrapText="1"/>
    </xf>
    <xf numFmtId="177" fontId="8" fillId="0" borderId="8" xfId="1" applyNumberFormat="1" applyFont="1" applyFill="1" applyBorder="1" applyAlignment="1" applyProtection="1">
      <alignment horizontal="center" vertical="center" wrapText="1"/>
    </xf>
    <xf numFmtId="0" fontId="7" fillId="0" borderId="9" xfId="0" applyFont="1" applyFill="1" applyBorder="1" applyAlignment="1">
      <alignment vertical="center"/>
    </xf>
    <xf numFmtId="178" fontId="7" fillId="0" borderId="2" xfId="1" applyNumberFormat="1" applyFont="1" applyFill="1" applyBorder="1" applyAlignment="1" applyProtection="1">
      <alignment horizontal="left" vertical="center" wrapText="1"/>
    </xf>
    <xf numFmtId="178" fontId="7" fillId="0" borderId="10" xfId="1" applyNumberFormat="1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9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vertical="center"/>
    </xf>
    <xf numFmtId="177" fontId="11" fillId="5" borderId="1" xfId="1" applyNumberFormat="1" applyFont="1" applyFill="1" applyBorder="1" applyAlignment="1" applyProtection="1">
      <alignment horizontal="center" vertical="center"/>
    </xf>
    <xf numFmtId="0" fontId="12" fillId="5" borderId="11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horizontal="left" vertical="center" wrapText="1"/>
    </xf>
    <xf numFmtId="177" fontId="12" fillId="0" borderId="1" xfId="1" applyNumberFormat="1" applyFont="1" applyFill="1" applyBorder="1" applyAlignment="1" applyProtection="1">
      <alignment horizontal="right" vertical="center" wrapText="1"/>
    </xf>
    <xf numFmtId="0" fontId="12" fillId="0" borderId="11" xfId="0" applyFont="1" applyFill="1" applyBorder="1" applyAlignment="1">
      <alignment vertical="center" wrapText="1"/>
    </xf>
    <xf numFmtId="177" fontId="12" fillId="6" borderId="1" xfId="1" applyNumberFormat="1" applyFont="1" applyFill="1" applyBorder="1" applyAlignment="1" applyProtection="1">
      <alignment horizontal="right" vertical="center"/>
    </xf>
    <xf numFmtId="0" fontId="12" fillId="6" borderId="11" xfId="0" applyFont="1" applyFill="1" applyBorder="1" applyAlignment="1">
      <alignment vertical="center" wrapText="1"/>
    </xf>
    <xf numFmtId="177" fontId="12" fillId="0" borderId="1" xfId="1" applyNumberFormat="1" applyFont="1" applyFill="1" applyBorder="1" applyAlignment="1" applyProtection="1">
      <alignment horizontal="right" vertical="center"/>
    </xf>
    <xf numFmtId="177" fontId="12" fillId="6" borderId="1" xfId="1" applyNumberFormat="1" applyFont="1" applyFill="1" applyBorder="1" applyAlignment="1" applyProtection="1">
      <alignment horizontal="right" vertical="center" wrapText="1"/>
    </xf>
    <xf numFmtId="0" fontId="12" fillId="0" borderId="1" xfId="0" applyFont="1" applyFill="1" applyBorder="1" applyAlignment="1">
      <alignment vertical="center"/>
    </xf>
    <xf numFmtId="0" fontId="12" fillId="0" borderId="11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 wrapText="1"/>
    </xf>
    <xf numFmtId="49" fontId="12" fillId="6" borderId="1" xfId="1" applyNumberFormat="1" applyFont="1" applyFill="1" applyBorder="1" applyAlignment="1" applyProtection="1">
      <alignment horizontal="right" vertical="center"/>
    </xf>
    <xf numFmtId="0" fontId="14" fillId="5" borderId="9" xfId="0" applyFont="1" applyFill="1" applyBorder="1" applyAlignment="1">
      <alignment vertical="center"/>
    </xf>
    <xf numFmtId="177" fontId="15" fillId="5" borderId="1" xfId="1" applyNumberFormat="1" applyFont="1" applyFill="1" applyBorder="1" applyAlignment="1" applyProtection="1">
      <alignment horizontal="center" vertical="center"/>
    </xf>
    <xf numFmtId="0" fontId="13" fillId="5" borderId="11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vertical="center"/>
    </xf>
    <xf numFmtId="177" fontId="12" fillId="0" borderId="13" xfId="1" applyNumberFormat="1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>
      <alignment vertical="center" wrapText="1"/>
    </xf>
    <xf numFmtId="0" fontId="7" fillId="7" borderId="15" xfId="0" applyFont="1" applyFill="1" applyBorder="1" applyAlignment="1">
      <alignment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7" fontId="6" fillId="7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7" fillId="7" borderId="18" xfId="0" applyFont="1" applyFill="1" applyBorder="1" applyAlignment="1">
      <alignment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/>
    </xf>
    <xf numFmtId="0" fontId="17" fillId="7" borderId="21" xfId="0" applyFont="1" applyFill="1" applyBorder="1" applyAlignment="1"/>
    <xf numFmtId="0" fontId="18" fillId="7" borderId="0" xfId="0" applyFont="1" applyFill="1" applyAlignment="1"/>
    <xf numFmtId="179" fontId="18" fillId="7" borderId="22" xfId="0" applyNumberFormat="1" applyFont="1" applyFill="1" applyBorder="1" applyAlignment="1"/>
    <xf numFmtId="0" fontId="19" fillId="7" borderId="0" xfId="0" applyFont="1" applyFill="1" applyAlignment="1"/>
    <xf numFmtId="0" fontId="20" fillId="7" borderId="21" xfId="0" applyFont="1" applyFill="1" applyBorder="1" applyAlignment="1"/>
    <xf numFmtId="0" fontId="21" fillId="7" borderId="0" xfId="0" applyFont="1" applyFill="1" applyAlignment="1"/>
    <xf numFmtId="0" fontId="18" fillId="7" borderId="22" xfId="0" applyFont="1" applyFill="1" applyBorder="1" applyAlignment="1"/>
    <xf numFmtId="0" fontId="22" fillId="7" borderId="0" xfId="0" applyFont="1" applyFill="1" applyAlignment="1"/>
    <xf numFmtId="0" fontId="23" fillId="7" borderId="18" xfId="0" applyFont="1" applyFill="1" applyBorder="1" applyAlignment="1"/>
    <xf numFmtId="0" fontId="24" fillId="7" borderId="19" xfId="0" applyFont="1" applyFill="1" applyBorder="1" applyAlignment="1"/>
    <xf numFmtId="0" fontId="25" fillId="7" borderId="20" xfId="0" applyFont="1" applyFill="1" applyBorder="1" applyAlignment="1"/>
    <xf numFmtId="0" fontId="26" fillId="7" borderId="0" xfId="0" applyFont="1" applyFill="1" applyAlignment="1"/>
    <xf numFmtId="0" fontId="23" fillId="7" borderId="0" xfId="0" applyFont="1" applyFill="1" applyAlignment="1"/>
    <xf numFmtId="0" fontId="24" fillId="7" borderId="0" xfId="0" applyFont="1" applyFill="1" applyAlignment="1"/>
    <xf numFmtId="0" fontId="25" fillId="7" borderId="0" xfId="0" applyFont="1" applyFill="1" applyAlignment="1"/>
    <xf numFmtId="0" fontId="20" fillId="0" borderId="15" xfId="0" applyFont="1" applyFill="1" applyBorder="1" applyAlignment="1"/>
    <xf numFmtId="0" fontId="21" fillId="0" borderId="16" xfId="0" applyFont="1" applyFill="1" applyBorder="1" applyAlignment="1"/>
    <xf numFmtId="0" fontId="27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>
      <alignment vertical="center"/>
    </xf>
    <xf numFmtId="0" fontId="29" fillId="6" borderId="1" xfId="0" applyFont="1" applyFill="1" applyBorder="1">
      <alignment vertical="center"/>
    </xf>
    <xf numFmtId="176" fontId="29" fillId="6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30" fillId="8" borderId="2" xfId="0" applyFont="1" applyFill="1" applyBorder="1" applyAlignment="1">
      <alignment horizontal="left" vertical="center"/>
    </xf>
    <xf numFmtId="0" fontId="30" fillId="8" borderId="3" xfId="0" applyFont="1" applyFill="1" applyBorder="1" applyAlignment="1">
      <alignment horizontal="left" vertical="center"/>
    </xf>
    <xf numFmtId="0" fontId="30" fillId="8" borderId="1" xfId="0" applyFont="1" applyFill="1" applyBorder="1">
      <alignment vertical="center"/>
    </xf>
    <xf numFmtId="0" fontId="30" fillId="8" borderId="1" xfId="0" applyFont="1" applyFill="1" applyBorder="1" applyAlignment="1">
      <alignment vertical="center" wrapText="1"/>
    </xf>
    <xf numFmtId="0" fontId="30" fillId="8" borderId="23" xfId="0" applyFont="1" applyFill="1" applyBorder="1" applyAlignment="1">
      <alignment vertical="center" wrapText="1"/>
    </xf>
    <xf numFmtId="0" fontId="30" fillId="8" borderId="24" xfId="0" applyFont="1" applyFill="1" applyBorder="1" applyAlignment="1">
      <alignment vertical="center" wrapText="1"/>
    </xf>
    <xf numFmtId="0" fontId="5" fillId="8" borderId="24" xfId="0" applyFont="1" applyFill="1" applyBorder="1" applyAlignment="1">
      <alignment vertical="center" wrapText="1"/>
    </xf>
    <xf numFmtId="176" fontId="30" fillId="8" borderId="24" xfId="0" applyNumberFormat="1" applyFont="1" applyFill="1" applyBorder="1" applyAlignment="1">
      <alignment horizontal="left" vertical="top" wrapText="1"/>
    </xf>
    <xf numFmtId="0" fontId="30" fillId="8" borderId="24" xfId="0" applyFont="1" applyFill="1" applyBorder="1" applyAlignment="1">
      <alignment horizontal="left" vertical="center"/>
    </xf>
    <xf numFmtId="0" fontId="30" fillId="8" borderId="24" xfId="0" applyFont="1" applyFill="1" applyBorder="1" applyAlignment="1">
      <alignment horizontal="left" vertical="center" wrapText="1"/>
    </xf>
    <xf numFmtId="176" fontId="30" fillId="8" borderId="24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top" wrapText="1"/>
    </xf>
    <xf numFmtId="176" fontId="0" fillId="0" borderId="1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76" fontId="0" fillId="0" borderId="1" xfId="0" applyNumberFormat="1" applyBorder="1">
      <alignment vertical="center"/>
    </xf>
    <xf numFmtId="176" fontId="29" fillId="6" borderId="1" xfId="0" applyNumberFormat="1" applyFont="1" applyFill="1" applyBorder="1">
      <alignment vertical="center"/>
    </xf>
    <xf numFmtId="0" fontId="0" fillId="0" borderId="13" xfId="0" applyBorder="1">
      <alignment vertical="center"/>
    </xf>
    <xf numFmtId="180" fontId="0" fillId="0" borderId="13" xfId="0" applyNumberFormat="1" applyBorder="1">
      <alignment vertical="center"/>
    </xf>
    <xf numFmtId="0" fontId="28" fillId="0" borderId="1" xfId="0" applyFont="1" applyBorder="1">
      <alignment vertical="center"/>
    </xf>
    <xf numFmtId="0" fontId="29" fillId="9" borderId="1" xfId="0" applyFont="1" applyFill="1" applyBorder="1">
      <alignment vertical="center"/>
    </xf>
    <xf numFmtId="176" fontId="29" fillId="9" borderId="1" xfId="0" applyNumberFormat="1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1" fillId="0" borderId="1" xfId="0" applyFont="1" applyFill="1" applyBorder="1" applyAlignment="1">
      <alignment horizontal="right" vertical="center"/>
    </xf>
    <xf numFmtId="0" fontId="32" fillId="0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vertical="center" wrapText="1"/>
    </xf>
    <xf numFmtId="181" fontId="33" fillId="6" borderId="1" xfId="0" applyNumberFormat="1" applyFont="1" applyFill="1" applyBorder="1" applyAlignment="1">
      <alignment horizontal="center" vertical="center"/>
    </xf>
    <xf numFmtId="181" fontId="32" fillId="6" borderId="1" xfId="0" applyNumberFormat="1" applyFont="1" applyFill="1" applyBorder="1" applyAlignment="1">
      <alignment horizontal="center" vertical="top" wrapText="1"/>
    </xf>
    <xf numFmtId="0" fontId="32" fillId="6" borderId="1" xfId="0" applyFont="1" applyFill="1" applyBorder="1" applyAlignment="1">
      <alignment horizontal="center" vertical="top" wrapText="1"/>
    </xf>
    <xf numFmtId="0" fontId="29" fillId="6" borderId="1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32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top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/>
    </xf>
    <xf numFmtId="181" fontId="33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vertical="center" wrapText="1"/>
    </xf>
    <xf numFmtId="181" fontId="32" fillId="10" borderId="1" xfId="0" applyNumberFormat="1" applyFont="1" applyFill="1" applyBorder="1" applyAlignment="1">
      <alignment horizontal="center" vertical="top" wrapText="1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 wrapText="1"/>
    </xf>
    <xf numFmtId="181" fontId="33" fillId="0" borderId="1" xfId="0" applyNumberFormat="1" applyFont="1" applyFill="1" applyBorder="1" applyAlignment="1">
      <alignment horizontal="center" vertical="center"/>
    </xf>
    <xf numFmtId="181" fontId="32" fillId="0" borderId="1" xfId="0" applyNumberFormat="1" applyFont="1" applyFill="1" applyBorder="1" applyAlignment="1">
      <alignment horizontal="center" vertical="top" wrapText="1"/>
    </xf>
    <xf numFmtId="0" fontId="32" fillId="0" borderId="1" xfId="0" applyFont="1" applyFill="1" applyBorder="1" applyAlignment="1">
      <alignment horizontal="center" vertical="top" wrapText="1"/>
    </xf>
    <xf numFmtId="0" fontId="35" fillId="0" borderId="1" xfId="0" applyFont="1" applyFill="1" applyBorder="1" applyAlignment="1">
      <alignment vertical="center" wrapText="1"/>
    </xf>
    <xf numFmtId="0" fontId="36" fillId="0" borderId="1" xfId="0" applyFont="1" applyFill="1" applyBorder="1" applyAlignment="1">
      <alignment horizontal="center" vertical="center"/>
    </xf>
    <xf numFmtId="182" fontId="35" fillId="0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31" fillId="0" borderId="13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181" fontId="33" fillId="10" borderId="24" xfId="0" applyNumberFormat="1" applyFont="1" applyFill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 wrapText="1"/>
    </xf>
    <xf numFmtId="181" fontId="31" fillId="0" borderId="1" xfId="0" applyNumberFormat="1" applyFont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/>
    </xf>
    <xf numFmtId="181" fontId="33" fillId="0" borderId="24" xfId="0" applyNumberFormat="1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34" fillId="0" borderId="0" xfId="0" applyFont="1" applyFill="1" applyAlignment="1"/>
    <xf numFmtId="0" fontId="39" fillId="0" borderId="0" xfId="0" applyFont="1" applyFill="1" applyAlignment="1">
      <alignment wrapText="1"/>
    </xf>
    <xf numFmtId="7" fontId="0" fillId="0" borderId="0" xfId="0" applyNumberFormat="1" applyFill="1" applyAlignment="1"/>
    <xf numFmtId="0" fontId="32" fillId="0" borderId="0" xfId="0" applyFont="1" applyFill="1" applyAlignment="1">
      <alignment wrapText="1"/>
    </xf>
    <xf numFmtId="0" fontId="0" fillId="11" borderId="0" xfId="0" applyFill="1" applyAlignment="1"/>
    <xf numFmtId="7" fontId="0" fillId="11" borderId="0" xfId="0" applyNumberFormat="1" applyFill="1" applyAlignment="1"/>
    <xf numFmtId="180" fontId="0" fillId="0" borderId="0" xfId="0" applyNumberFormat="1" applyFill="1" applyAlignment="1"/>
    <xf numFmtId="0" fontId="32" fillId="11" borderId="0" xfId="0" applyFont="1" applyFill="1" applyAlignment="1">
      <alignment wrapText="1"/>
    </xf>
    <xf numFmtId="0" fontId="0" fillId="6" borderId="0" xfId="0" applyFill="1" applyAlignment="1"/>
    <xf numFmtId="7" fontId="0" fillId="6" borderId="0" xfId="0" applyNumberFormat="1" applyFill="1" applyAlignment="1"/>
    <xf numFmtId="0" fontId="28" fillId="0" borderId="0" xfId="0" applyFont="1" applyFill="1" applyAlignment="1"/>
    <xf numFmtId="176" fontId="28" fillId="0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40" fillId="0" borderId="0" xfId="0" applyFont="1" applyFill="1" applyAlignment="1">
      <alignment wrapText="1"/>
    </xf>
    <xf numFmtId="0" fontId="33" fillId="0" borderId="1" xfId="0" applyFont="1" applyFill="1" applyBorder="1" applyAlignment="1">
      <alignment vertical="center"/>
    </xf>
    <xf numFmtId="0" fontId="35" fillId="0" borderId="1" xfId="0" applyFont="1" applyFill="1" applyBorder="1" applyAlignment="1">
      <alignment vertical="center"/>
    </xf>
    <xf numFmtId="0" fontId="35" fillId="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176" fontId="0" fillId="6" borderId="1" xfId="0" applyNumberFormat="1" applyFill="1" applyBorder="1" applyAlignment="1">
      <alignment horizontal="left" vertical="center"/>
    </xf>
    <xf numFmtId="0" fontId="32" fillId="10" borderId="1" xfId="0" applyFont="1" applyFill="1" applyBorder="1" applyAlignment="1">
      <alignment vertical="top" wrapText="1"/>
    </xf>
    <xf numFmtId="0" fontId="31" fillId="10" borderId="1" xfId="0" applyFont="1" applyFill="1" applyBorder="1" applyAlignment="1">
      <alignment wrapText="1"/>
    </xf>
    <xf numFmtId="183" fontId="33" fillId="10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0" fillId="8" borderId="24" xfId="0" applyFont="1" applyFill="1" applyBorder="1">
      <alignment vertical="center"/>
    </xf>
    <xf numFmtId="0" fontId="0" fillId="0" borderId="0" xfId="0" applyAlignment="1">
      <alignment horizontal="right" vertical="center"/>
    </xf>
    <xf numFmtId="176" fontId="29" fillId="0" borderId="1" xfId="0" applyNumberFormat="1" applyFont="1" applyBorder="1" applyAlignment="1">
      <alignment horizontal="left" vertical="center"/>
    </xf>
    <xf numFmtId="0" fontId="30" fillId="8" borderId="25" xfId="0" applyFont="1" applyFill="1" applyBorder="1" applyAlignment="1">
      <alignment horizontal="left" vertical="center"/>
    </xf>
    <xf numFmtId="0" fontId="30" fillId="8" borderId="4" xfId="0" applyFont="1" applyFill="1" applyBorder="1" applyAlignment="1">
      <alignment horizontal="left" vertical="center"/>
    </xf>
    <xf numFmtId="0" fontId="30" fillId="8" borderId="26" xfId="0" applyFont="1" applyFill="1" applyBorder="1">
      <alignment vertical="center"/>
    </xf>
    <xf numFmtId="0" fontId="41" fillId="8" borderId="2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www.wps.cn/officeDocument/2020/cellImage" Target="cellimag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32</xdr:row>
      <xdr:rowOff>27940</xdr:rowOff>
    </xdr:from>
    <xdr:to>
      <xdr:col>2</xdr:col>
      <xdr:colOff>497840</xdr:colOff>
      <xdr:row>39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032240"/>
          <a:ext cx="4238625" cy="136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3" sqref="B3"/>
    </sheetView>
  </sheetViews>
  <sheetFormatPr defaultColWidth="8.88888888888889" defaultRowHeight="14.4" outlineLevelRow="6" outlineLevelCol="3"/>
  <cols>
    <col min="1" max="1" width="16.4444444444444" customWidth="1"/>
    <col min="2" max="2" width="53.8888888888889" customWidth="1"/>
    <col min="3" max="3" width="52.5555555555556" customWidth="1"/>
    <col min="4" max="4" width="63.1111111111111" customWidth="1"/>
  </cols>
  <sheetData>
    <row r="1" customHeight="1" spans="1:4">
      <c r="A1" s="215" t="s">
        <v>0</v>
      </c>
      <c r="B1" s="123"/>
      <c r="C1" s="123"/>
      <c r="D1" s="216"/>
    </row>
    <row r="2" spans="1:4">
      <c r="A2" s="217" t="s">
        <v>1</v>
      </c>
      <c r="B2" s="217" t="s">
        <v>2</v>
      </c>
      <c r="C2" s="217" t="s">
        <v>3</v>
      </c>
      <c r="D2" s="217" t="s">
        <v>4</v>
      </c>
    </row>
    <row r="3" ht="214" customHeight="1" spans="1:4">
      <c r="A3" s="127" t="s">
        <v>5</v>
      </c>
      <c r="B3" s="127" t="s">
        <v>6</v>
      </c>
      <c r="C3" s="127" t="s">
        <v>7</v>
      </c>
      <c r="D3" s="127" t="s">
        <v>8</v>
      </c>
    </row>
    <row r="4" spans="1:4">
      <c r="A4" s="127" t="s">
        <v>9</v>
      </c>
      <c r="B4" s="129">
        <f>1740*23</f>
        <v>40020</v>
      </c>
      <c r="C4" s="129">
        <f>1740*22</f>
        <v>38280</v>
      </c>
      <c r="D4" s="129">
        <f>17*1740</f>
        <v>29580</v>
      </c>
    </row>
    <row r="5" ht="39.6" spans="1:4">
      <c r="A5" s="130" t="s">
        <v>10</v>
      </c>
      <c r="B5" s="127" t="s">
        <v>11</v>
      </c>
      <c r="C5" s="127" t="s">
        <v>12</v>
      </c>
      <c r="D5" s="218" t="s">
        <v>13</v>
      </c>
    </row>
    <row r="6" ht="26.4" spans="1:4">
      <c r="A6" s="130" t="s">
        <v>14</v>
      </c>
      <c r="B6" s="127" t="s">
        <v>15</v>
      </c>
      <c r="C6" s="127" t="s">
        <v>16</v>
      </c>
      <c r="D6" s="127" t="s">
        <v>15</v>
      </c>
    </row>
    <row r="7" ht="68.55" spans="1:4">
      <c r="A7" s="212" t="s">
        <v>17</v>
      </c>
      <c r="B7" s="212" t="s">
        <v>18</v>
      </c>
      <c r="C7" s="131" t="s">
        <v>19</v>
      </c>
      <c r="D7" s="131" t="str">
        <f>_xlfn.DISPIMG("ID_5D860701509B4AC294249D86F8FBE954",1)</f>
        <v>=DISPIMG("ID_5D860701509B4AC294249D86F8FBE954",1)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C1" sqref="C1"/>
    </sheetView>
  </sheetViews>
  <sheetFormatPr defaultColWidth="9" defaultRowHeight="14.4" outlineLevelCol="2"/>
  <cols>
    <col min="1" max="1" width="11.1111111111111" customWidth="1"/>
    <col min="2" max="2" width="29.3333333333333" customWidth="1"/>
    <col min="3" max="3" width="31" customWidth="1"/>
    <col min="4" max="4" width="15.3333333333333" customWidth="1"/>
  </cols>
  <sheetData>
    <row r="1" spans="1:3">
      <c r="A1" t="s">
        <v>20</v>
      </c>
      <c r="C1" t="s">
        <v>21</v>
      </c>
    </row>
    <row r="3" spans="1:3">
      <c r="A3" t="s">
        <v>22</v>
      </c>
    </row>
    <row r="4" spans="1:3">
      <c r="A4" s="105" t="s">
        <v>18</v>
      </c>
      <c r="B4" s="105" t="s">
        <v>23</v>
      </c>
      <c r="C4" s="105" t="s">
        <v>24</v>
      </c>
    </row>
    <row r="5" ht="137" customHeight="1" spans="1:3">
      <c r="A5" s="105" t="s">
        <v>25</v>
      </c>
      <c r="B5" s="119" t="s">
        <v>26</v>
      </c>
      <c r="C5" s="119" t="s">
        <v>27</v>
      </c>
    </row>
    <row r="6" spans="1:3">
      <c r="A6" s="105" t="s">
        <v>28</v>
      </c>
      <c r="B6" s="214">
        <f>500*5.46</f>
        <v>2730</v>
      </c>
      <c r="C6" s="214">
        <f>380*5.46</f>
        <v>2074.8</v>
      </c>
    </row>
    <row r="7" spans="1:3">
      <c r="A7" s="105" t="s">
        <v>29</v>
      </c>
      <c r="B7" s="214">
        <f>100000*9%</f>
        <v>9000</v>
      </c>
      <c r="C7" s="214">
        <f>100000*9%</f>
        <v>9000</v>
      </c>
    </row>
    <row r="10" spans="1:3">
      <c r="A10" t="s">
        <v>30</v>
      </c>
    </row>
    <row r="11" spans="1:3">
      <c r="A11" s="105" t="s">
        <v>18</v>
      </c>
      <c r="B11" s="105" t="s">
        <v>31</v>
      </c>
      <c r="C11" s="105" t="s">
        <v>2</v>
      </c>
    </row>
    <row r="12" ht="150" customHeight="1" spans="1:3">
      <c r="A12" s="105" t="s">
        <v>25</v>
      </c>
      <c r="B12" s="119" t="s">
        <v>32</v>
      </c>
      <c r="C12" s="119"/>
    </row>
    <row r="13" spans="1:3">
      <c r="A13" s="105" t="s">
        <v>28</v>
      </c>
      <c r="B13" s="214">
        <f>14.5*910</f>
        <v>13195</v>
      </c>
      <c r="C13" s="214"/>
    </row>
    <row r="14" spans="1:3">
      <c r="A14" s="105" t="s">
        <v>33</v>
      </c>
      <c r="B14" s="214">
        <f>100000*20%</f>
        <v>20000</v>
      </c>
      <c r="C14" s="21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3" sqref="C3"/>
    </sheetView>
  </sheetViews>
  <sheetFormatPr defaultColWidth="9" defaultRowHeight="14.4" outlineLevelCol="3"/>
  <cols>
    <col min="1" max="1" width="19.6296296296296" customWidth="1"/>
    <col min="2" max="2" width="42.8796296296296" customWidth="1"/>
    <col min="3" max="3" width="44.25" customWidth="1"/>
  </cols>
  <sheetData>
    <row r="1" spans="1:4">
      <c r="A1" t="s">
        <v>34</v>
      </c>
    </row>
    <row r="2" spans="1:4">
      <c r="A2" t="s">
        <v>35</v>
      </c>
      <c r="B2" t="s">
        <v>36</v>
      </c>
      <c r="C2" s="213">
        <v>910</v>
      </c>
    </row>
    <row r="3" spans="1:4">
      <c r="A3" t="s">
        <v>37</v>
      </c>
      <c r="B3" t="s">
        <v>38</v>
      </c>
      <c r="C3" s="213">
        <v>5</v>
      </c>
      <c r="D3" t="s">
        <v>39</v>
      </c>
    </row>
    <row r="4" spans="1:4">
      <c r="A4" t="s">
        <v>40</v>
      </c>
      <c r="B4" t="s">
        <v>41</v>
      </c>
      <c r="C4" s="213">
        <v>10</v>
      </c>
      <c r="D4" t="s">
        <v>39</v>
      </c>
    </row>
    <row r="5" spans="1:4">
      <c r="A5" t="s">
        <v>42</v>
      </c>
      <c r="B5" t="s">
        <v>43</v>
      </c>
      <c r="C5">
        <v>5</v>
      </c>
      <c r="D5" t="s">
        <v>39</v>
      </c>
    </row>
    <row r="6" spans="1:4">
      <c r="A6" s="105" t="s">
        <v>44</v>
      </c>
      <c r="B6" s="105"/>
      <c r="C6" s="105">
        <f>SUM(C2:C5)</f>
        <v>930</v>
      </c>
    </row>
    <row r="7" ht="41" customHeight="1" spans="1:4">
      <c r="A7" s="105" t="s">
        <v>45</v>
      </c>
      <c r="B7" s="105" t="s">
        <v>46</v>
      </c>
      <c r="C7" s="105"/>
    </row>
    <row r="8" ht="82" customHeight="1" spans="1:4">
      <c r="A8" s="105" t="s">
        <v>1</v>
      </c>
      <c r="B8" s="105" t="s">
        <v>47</v>
      </c>
      <c r="C8" s="105" t="s">
        <v>48</v>
      </c>
    </row>
    <row r="9" ht="143" customHeight="1" spans="1:4">
      <c r="A9" s="105" t="s">
        <v>25</v>
      </c>
      <c r="B9" s="119" t="s">
        <v>49</v>
      </c>
      <c r="C9" s="113" t="s">
        <v>50</v>
      </c>
    </row>
    <row r="10" ht="43" customHeight="1" spans="1:4">
      <c r="A10" s="105" t="s">
        <v>51</v>
      </c>
      <c r="B10" s="115">
        <f>930*8+500+300*2+600+300*2*2</f>
        <v>10340</v>
      </c>
      <c r="C10" s="115">
        <f>3*930+800+1200</f>
        <v>4790</v>
      </c>
    </row>
    <row r="11" ht="29" customHeight="1" spans="1:4">
      <c r="A11" s="105" t="s">
        <v>52</v>
      </c>
      <c r="B11" s="119" t="s">
        <v>53</v>
      </c>
      <c r="C11" s="119" t="s">
        <v>53</v>
      </c>
    </row>
    <row r="12" ht="23" customHeight="1" spans="1:4">
      <c r="A12" s="105" t="s">
        <v>54</v>
      </c>
      <c r="B12" s="105" t="s">
        <v>55</v>
      </c>
      <c r="C12" s="105" t="s">
        <v>56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5" sqref="B5"/>
    </sheetView>
  </sheetViews>
  <sheetFormatPr defaultColWidth="9" defaultRowHeight="14.4" outlineLevelRow="5" outlineLevelCol="2"/>
  <cols>
    <col min="1" max="1" width="18.7777777777778" customWidth="1"/>
    <col min="2" max="2" width="57.4444444444444" customWidth="1"/>
    <col min="3" max="3" width="72.4444444444444" customWidth="1"/>
  </cols>
  <sheetData>
    <row r="1" spans="1:3">
      <c r="A1" s="130" t="s">
        <v>57</v>
      </c>
      <c r="B1" s="130"/>
      <c r="C1" s="130"/>
    </row>
    <row r="2" spans="1:3">
      <c r="A2" s="212" t="s">
        <v>1</v>
      </c>
      <c r="B2" s="212" t="s">
        <v>58</v>
      </c>
      <c r="C2" s="212" t="s">
        <v>59</v>
      </c>
    </row>
    <row r="3" ht="52.8" spans="1:3">
      <c r="A3" s="127" t="s">
        <v>60</v>
      </c>
      <c r="B3" s="127" t="s">
        <v>61</v>
      </c>
      <c r="C3" s="127" t="s">
        <v>62</v>
      </c>
    </row>
    <row r="4" ht="66" spans="1:3">
      <c r="A4" s="130" t="s">
        <v>10</v>
      </c>
      <c r="B4" s="127" t="s">
        <v>63</v>
      </c>
      <c r="C4" s="127" t="s">
        <v>64</v>
      </c>
    </row>
    <row r="5" ht="26.4" spans="1:3">
      <c r="A5" s="130" t="s">
        <v>14</v>
      </c>
      <c r="B5" s="127" t="s">
        <v>65</v>
      </c>
      <c r="C5" s="127" t="s">
        <v>66</v>
      </c>
    </row>
    <row r="6" ht="101.55" spans="1:3">
      <c r="A6" s="212" t="s">
        <v>17</v>
      </c>
      <c r="B6" s="212" t="s">
        <v>67</v>
      </c>
      <c r="C6" s="212" t="str">
        <f>_xlfn.DISPIMG("ID_2CECE66807C2461AA43ADEFFCBBECC4A",1)</f>
        <v>=DISPIMG("ID_2CECE66807C2461AA43ADEFFCBBECC4A",1)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8.88888888888889" defaultRowHeight="14.4" outlineLevelRow="4" outlineLevelCol="1"/>
  <cols>
    <col min="1" max="1" width="12.2222222222222" customWidth="1"/>
    <col min="2" max="2" width="54.8888888888889" customWidth="1"/>
  </cols>
  <sheetData>
    <row r="1" spans="1:2">
      <c r="A1" s="130" t="s">
        <v>68</v>
      </c>
      <c r="B1" s="130"/>
    </row>
    <row r="2" spans="1:2">
      <c r="A2" s="212" t="s">
        <v>1</v>
      </c>
      <c r="B2" s="212" t="s">
        <v>69</v>
      </c>
    </row>
    <row r="3" ht="75" customHeight="1" spans="1:2">
      <c r="A3" s="127" t="s">
        <v>70</v>
      </c>
      <c r="B3" s="127" t="s">
        <v>71</v>
      </c>
    </row>
    <row r="4" ht="52.8" spans="1:2">
      <c r="A4" s="130" t="s">
        <v>10</v>
      </c>
      <c r="B4" s="127" t="s">
        <v>72</v>
      </c>
    </row>
    <row r="5" ht="30" customHeight="1" spans="1:2">
      <c r="A5" s="130" t="s">
        <v>14</v>
      </c>
      <c r="B5" s="127" t="s">
        <v>73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7" sqref="B7"/>
    </sheetView>
  </sheetViews>
  <sheetFormatPr defaultColWidth="8.88888888888889" defaultRowHeight="14.4"/>
  <cols>
    <col min="1" max="1" width="24" style="108" customWidth="1"/>
    <col min="2" max="2" width="41" style="108" customWidth="1"/>
    <col min="3" max="6" width="8.88888888888889" style="108"/>
    <col min="7" max="7" width="27.4444444444444" style="108" customWidth="1"/>
    <col min="8" max="8" width="30.4444444444444" style="108" customWidth="1"/>
    <col min="9" max="16384" width="8.88888888888889" style="108"/>
  </cols>
  <sheetData>
    <row r="1" ht="28.8" spans="1:10">
      <c r="A1" s="164" t="s">
        <v>74</v>
      </c>
      <c r="B1" s="211" t="s">
        <v>75</v>
      </c>
      <c r="C1" s="164" t="s">
        <v>76</v>
      </c>
      <c r="D1" s="164" t="s">
        <v>77</v>
      </c>
      <c r="E1" s="165" t="s">
        <v>78</v>
      </c>
      <c r="F1" s="164">
        <v>10</v>
      </c>
      <c r="G1" s="166">
        <v>1200</v>
      </c>
      <c r="H1" s="167">
        <f>G1*F1</f>
        <v>12000</v>
      </c>
      <c r="I1" s="164">
        <v>0.5</v>
      </c>
      <c r="J1" s="168">
        <f>F1*I1</f>
        <v>5</v>
      </c>
    </row>
    <row r="4" spans="1:10">
      <c r="A4" s="106" t="s">
        <v>79</v>
      </c>
      <c r="B4" s="106" t="s">
        <v>80</v>
      </c>
    </row>
    <row r="5" spans="1:10">
      <c r="A5" s="106" t="s">
        <v>81</v>
      </c>
      <c r="B5" s="107">
        <v>10</v>
      </c>
      <c r="D5" s="108" t="s">
        <v>82</v>
      </c>
    </row>
    <row r="6" spans="1:10">
      <c r="A6" s="106" t="s">
        <v>83</v>
      </c>
      <c r="B6" s="106" t="s">
        <v>84</v>
      </c>
    </row>
    <row r="7" ht="234" customHeight="1" spans="1:10">
      <c r="A7" s="106" t="s">
        <v>25</v>
      </c>
      <c r="B7" s="112" t="s">
        <v>85</v>
      </c>
    </row>
    <row r="8" ht="24" customHeight="1" spans="1:10">
      <c r="A8" s="106" t="s">
        <v>51</v>
      </c>
      <c r="B8" s="115">
        <f>((300+180+60*2+450)*7.2)+((100+100+45+180+180+65)*5.6)</f>
        <v>11312</v>
      </c>
    </row>
    <row r="9" ht="23" customHeight="1" spans="1:10">
      <c r="A9" s="106" t="s">
        <v>86</v>
      </c>
      <c r="B9" s="115">
        <f>H1*9%</f>
        <v>1080</v>
      </c>
    </row>
    <row r="10" ht="40" customHeight="1" spans="1:10">
      <c r="A10" s="154" t="s">
        <v>87</v>
      </c>
      <c r="B10" s="118">
        <f>B8+B9</f>
        <v>12392</v>
      </c>
    </row>
    <row r="11" ht="45" customHeight="1" spans="1:10">
      <c r="A11" s="106" t="s">
        <v>52</v>
      </c>
      <c r="B11" s="119" t="s">
        <v>88</v>
      </c>
    </row>
    <row r="12" ht="48" customHeight="1" spans="1:10">
      <c r="A12" s="106" t="s">
        <v>54</v>
      </c>
      <c r="B12" s="119" t="s">
        <v>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B5" sqref="B5"/>
    </sheetView>
  </sheetViews>
  <sheetFormatPr defaultColWidth="8.88888888888889" defaultRowHeight="14.4"/>
  <cols>
    <col min="1" max="1" width="15.1111111111111" style="108" customWidth="1"/>
    <col min="2" max="2" width="36.7777777777778" style="108" customWidth="1"/>
    <col min="3" max="3" width="34" style="108" customWidth="1"/>
    <col min="4" max="4" width="17.8888888888889" style="108" customWidth="1"/>
    <col min="5" max="5" width="25.4444444444444" style="108" customWidth="1"/>
    <col min="6" max="6" width="8.88888888888889" style="108"/>
    <col min="7" max="7" width="18.6666666666667" style="108" customWidth="1"/>
    <col min="8" max="8" width="19.4444444444444" style="108" customWidth="1"/>
    <col min="9" max="9" width="8.88888888888889" style="108"/>
    <col min="10" max="10" width="22.5555555555556" style="108" customWidth="1"/>
    <col min="11" max="16384" width="8.88888888888889" style="108"/>
  </cols>
  <sheetData>
    <row r="1" spans="1:10">
      <c r="A1" s="155" t="s">
        <v>90</v>
      </c>
    </row>
    <row r="2" ht="28.8" spans="1:10">
      <c r="A2" s="156" t="s">
        <v>91</v>
      </c>
      <c r="B2" s="164" t="s">
        <v>92</v>
      </c>
      <c r="C2" s="158" t="s">
        <v>93</v>
      </c>
      <c r="D2" s="158" t="s">
        <v>94</v>
      </c>
      <c r="E2" s="208" t="s">
        <v>95</v>
      </c>
      <c r="F2" s="158">
        <v>2</v>
      </c>
      <c r="G2" s="161">
        <v>132631</v>
      </c>
      <c r="H2" s="163">
        <f>G2*F2</f>
        <v>265262</v>
      </c>
      <c r="I2" s="158">
        <v>10</v>
      </c>
      <c r="J2" s="158">
        <f>F2*I2</f>
        <v>20</v>
      </c>
    </row>
    <row r="3" spans="1:10">
      <c r="A3" s="156"/>
      <c r="B3" s="164"/>
      <c r="C3" s="158" t="s">
        <v>93</v>
      </c>
      <c r="D3" s="158" t="s">
        <v>94</v>
      </c>
      <c r="E3" s="209" t="s">
        <v>96</v>
      </c>
      <c r="F3" s="160">
        <v>4</v>
      </c>
      <c r="G3" s="210">
        <v>2500</v>
      </c>
      <c r="H3" s="163">
        <f>G3*F3</f>
        <v>10000</v>
      </c>
      <c r="I3" s="158">
        <v>15</v>
      </c>
      <c r="J3" s="158">
        <f>F3*I3</f>
        <v>60</v>
      </c>
    </row>
    <row r="4" spans="1:10">
      <c r="A4" s="156"/>
      <c r="B4" s="164"/>
      <c r="C4" s="158" t="s">
        <v>93</v>
      </c>
      <c r="D4" s="158" t="s">
        <v>94</v>
      </c>
      <c r="E4" s="209" t="s">
        <v>97</v>
      </c>
      <c r="F4" s="160">
        <v>8</v>
      </c>
      <c r="G4" s="210">
        <v>37000</v>
      </c>
      <c r="H4" s="163">
        <f>G4*F4</f>
        <v>296000</v>
      </c>
      <c r="I4" s="158">
        <v>1.5</v>
      </c>
      <c r="J4" s="158">
        <f>F4*I4</f>
        <v>12</v>
      </c>
    </row>
    <row r="5" spans="1:10">
      <c r="H5" s="108">
        <f>H2+H3+H4</f>
        <v>571262</v>
      </c>
    </row>
    <row r="6" spans="1:10">
      <c r="A6" s="205" t="s">
        <v>98</v>
      </c>
      <c r="B6" s="205"/>
      <c r="C6" s="106"/>
    </row>
    <row r="7" spans="1:10">
      <c r="A7" s="106" t="s">
        <v>81</v>
      </c>
      <c r="B7" s="107">
        <v>100</v>
      </c>
      <c r="C7" s="106"/>
    </row>
    <row r="8" spans="1:10">
      <c r="A8" s="106" t="s">
        <v>83</v>
      </c>
      <c r="B8" s="106" t="s">
        <v>2</v>
      </c>
      <c r="C8" s="106" t="s">
        <v>99</v>
      </c>
    </row>
    <row r="9" ht="262" customHeight="1" spans="1:10">
      <c r="A9" s="106" t="s">
        <v>25</v>
      </c>
      <c r="B9" s="119" t="s">
        <v>100</v>
      </c>
      <c r="C9" s="119" t="s">
        <v>101</v>
      </c>
    </row>
    <row r="10" ht="18" customHeight="1" spans="1:10">
      <c r="A10" s="106" t="s">
        <v>51</v>
      </c>
      <c r="B10" s="115">
        <f>25*100+500+150+500+((100+0.3*100+180+180+200+65)*5.6)</f>
        <v>7878</v>
      </c>
      <c r="C10" s="115">
        <f>38*100+4500+500+500+500</f>
        <v>9800</v>
      </c>
    </row>
    <row r="11" ht="19" customHeight="1" spans="1:10">
      <c r="A11" s="106" t="s">
        <v>102</v>
      </c>
      <c r="B11" s="115">
        <f>H5*9%</f>
        <v>51413.58</v>
      </c>
      <c r="C11" s="106" t="s">
        <v>18</v>
      </c>
    </row>
    <row r="12" ht="21" customHeight="1" spans="1:10">
      <c r="A12" s="106" t="s">
        <v>103</v>
      </c>
      <c r="B12" s="115">
        <f>B11*4%</f>
        <v>2056.5432</v>
      </c>
      <c r="C12" s="106" t="s">
        <v>18</v>
      </c>
    </row>
    <row r="13" ht="20" customHeight="1" spans="1:10">
      <c r="A13" s="154" t="s">
        <v>87</v>
      </c>
      <c r="B13" s="118">
        <f>B10+B11+B12</f>
        <v>61348.1232</v>
      </c>
      <c r="C13" s="118">
        <f>9800</f>
        <v>9800</v>
      </c>
    </row>
    <row r="14" ht="57" customHeight="1" spans="1:10">
      <c r="A14" s="106" t="s">
        <v>52</v>
      </c>
      <c r="B14" s="119" t="s">
        <v>104</v>
      </c>
      <c r="C14" s="119" t="s">
        <v>105</v>
      </c>
    </row>
    <row r="15" ht="61" customHeight="1" spans="1:10">
      <c r="A15" s="106" t="s">
        <v>54</v>
      </c>
      <c r="B15" s="119" t="s">
        <v>106</v>
      </c>
      <c r="C15" s="119" t="s">
        <v>106</v>
      </c>
    </row>
    <row r="17" spans="1:1">
      <c r="A17" s="108" t="s">
        <v>107</v>
      </c>
    </row>
    <row r="29" ht="90" customHeight="1"/>
    <row r="30" ht="21" customHeight="1"/>
    <row r="31" ht="46" customHeight="1"/>
    <row r="35" ht="39" customHeight="1"/>
  </sheetData>
  <mergeCells count="2">
    <mergeCell ref="A2:A4"/>
    <mergeCell ref="B2:B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D15" sqref="D15"/>
    </sheetView>
  </sheetViews>
  <sheetFormatPr defaultColWidth="8.88888888888889" defaultRowHeight="14.4"/>
  <cols>
    <col min="1" max="1" width="13.3333333333333" style="108" customWidth="1"/>
    <col min="2" max="2" width="28.4444444444444" style="108" customWidth="1"/>
    <col min="3" max="4" width="8.88888888888889" style="108"/>
    <col min="5" max="5" width="28.1111111111111" style="108" customWidth="1"/>
    <col min="6" max="6" width="8.88888888888889" style="108"/>
    <col min="7" max="7" width="27.7777777777778" style="108" customWidth="1"/>
    <col min="8" max="8" width="22.5555555555556" style="108" customWidth="1"/>
    <col min="9" max="9" width="8.88888888888889" style="108"/>
    <col min="10" max="10" width="15.5555555555556" style="108" customWidth="1"/>
    <col min="11" max="16384" width="8.88888888888889" style="108"/>
  </cols>
  <sheetData>
    <row r="1" spans="1:10">
      <c r="A1" s="155" t="s">
        <v>108</v>
      </c>
    </row>
    <row r="2" spans="1:10">
      <c r="A2" s="156" t="s">
        <v>91</v>
      </c>
      <c r="B2" s="164" t="s">
        <v>92</v>
      </c>
      <c r="C2" s="164" t="s">
        <v>93</v>
      </c>
      <c r="D2" s="164" t="s">
        <v>77</v>
      </c>
      <c r="E2" s="202" t="s">
        <v>109</v>
      </c>
      <c r="F2" s="164">
        <v>21</v>
      </c>
      <c r="G2" s="166">
        <v>950</v>
      </c>
      <c r="H2" s="167">
        <f t="shared" ref="H2:H10" si="0">G2*F2</f>
        <v>19950</v>
      </c>
      <c r="I2" s="164">
        <v>0.1</v>
      </c>
      <c r="J2" s="168">
        <f t="shared" ref="J2:J10" si="1">F2*I2</f>
        <v>2.1</v>
      </c>
    </row>
    <row r="3" spans="1:10">
      <c r="A3" s="156"/>
      <c r="B3" s="164"/>
      <c r="C3" s="164" t="s">
        <v>93</v>
      </c>
      <c r="D3" s="164" t="s">
        <v>77</v>
      </c>
      <c r="E3" s="202" t="s">
        <v>110</v>
      </c>
      <c r="F3" s="164">
        <v>38</v>
      </c>
      <c r="G3" s="166">
        <v>168</v>
      </c>
      <c r="H3" s="167">
        <f t="shared" si="0"/>
        <v>6384</v>
      </c>
      <c r="I3" s="164">
        <v>0.1</v>
      </c>
      <c r="J3" s="168">
        <f t="shared" si="1"/>
        <v>3.8</v>
      </c>
    </row>
    <row r="4" spans="1:10">
      <c r="A4" s="156"/>
      <c r="B4" s="164"/>
      <c r="C4" s="164" t="s">
        <v>93</v>
      </c>
      <c r="D4" s="164" t="s">
        <v>77</v>
      </c>
      <c r="E4" s="203" t="s">
        <v>111</v>
      </c>
      <c r="F4" s="170">
        <v>40</v>
      </c>
      <c r="G4" s="166">
        <v>80.7</v>
      </c>
      <c r="H4" s="167">
        <f t="shared" si="0"/>
        <v>3228</v>
      </c>
      <c r="I4" s="164">
        <v>0.1</v>
      </c>
      <c r="J4" s="168">
        <f t="shared" si="1"/>
        <v>4</v>
      </c>
    </row>
    <row r="5" spans="1:10">
      <c r="A5" s="156"/>
      <c r="B5" s="164"/>
      <c r="C5" s="164" t="s">
        <v>93</v>
      </c>
      <c r="D5" s="164" t="s">
        <v>77</v>
      </c>
      <c r="E5" s="203" t="s">
        <v>112</v>
      </c>
      <c r="F5" s="170">
        <v>42</v>
      </c>
      <c r="G5" s="166">
        <v>10.15</v>
      </c>
      <c r="H5" s="167">
        <f t="shared" si="0"/>
        <v>426.3</v>
      </c>
      <c r="I5" s="164">
        <v>0.1</v>
      </c>
      <c r="J5" s="168">
        <f t="shared" si="1"/>
        <v>4.2</v>
      </c>
    </row>
    <row r="6" spans="1:10">
      <c r="A6" s="156"/>
      <c r="B6" s="164"/>
      <c r="C6" s="164" t="s">
        <v>93</v>
      </c>
      <c r="D6" s="164" t="s">
        <v>77</v>
      </c>
      <c r="E6" s="203" t="s">
        <v>113</v>
      </c>
      <c r="F6" s="170">
        <v>66</v>
      </c>
      <c r="G6" s="166">
        <v>117</v>
      </c>
      <c r="H6" s="167">
        <f t="shared" si="0"/>
        <v>7722</v>
      </c>
      <c r="I6" s="164">
        <v>0.1</v>
      </c>
      <c r="J6" s="168">
        <f t="shared" si="1"/>
        <v>6.6</v>
      </c>
    </row>
    <row r="7" spans="1:10">
      <c r="A7" s="156"/>
      <c r="B7" s="164"/>
      <c r="C7" s="164" t="s">
        <v>93</v>
      </c>
      <c r="D7" s="164" t="s">
        <v>77</v>
      </c>
      <c r="E7" s="204" t="s">
        <v>114</v>
      </c>
      <c r="F7" s="170">
        <v>2</v>
      </c>
      <c r="G7" s="166">
        <v>20</v>
      </c>
      <c r="H7" s="167">
        <f t="shared" si="0"/>
        <v>40</v>
      </c>
      <c r="I7" s="164">
        <v>0.1</v>
      </c>
      <c r="J7" s="168">
        <f t="shared" si="1"/>
        <v>0.2</v>
      </c>
    </row>
    <row r="8" spans="1:10">
      <c r="A8" s="156"/>
      <c r="B8" s="164"/>
      <c r="C8" s="164" t="s">
        <v>93</v>
      </c>
      <c r="D8" s="164" t="s">
        <v>77</v>
      </c>
      <c r="E8" s="204" t="s">
        <v>115</v>
      </c>
      <c r="F8" s="170">
        <v>4</v>
      </c>
      <c r="G8" s="166">
        <v>25</v>
      </c>
      <c r="H8" s="167">
        <f t="shared" si="0"/>
        <v>100</v>
      </c>
      <c r="I8" s="164">
        <v>0.1</v>
      </c>
      <c r="J8" s="168">
        <f t="shared" si="1"/>
        <v>0.4</v>
      </c>
    </row>
    <row r="9" spans="1:10">
      <c r="A9" s="156"/>
      <c r="B9" s="164"/>
      <c r="C9" s="164" t="s">
        <v>93</v>
      </c>
      <c r="D9" s="164" t="s">
        <v>77</v>
      </c>
      <c r="E9" s="204" t="s">
        <v>116</v>
      </c>
      <c r="F9" s="170">
        <v>1</v>
      </c>
      <c r="G9" s="166">
        <v>40</v>
      </c>
      <c r="H9" s="167">
        <f t="shared" si="0"/>
        <v>40</v>
      </c>
      <c r="I9" s="164">
        <v>0.1</v>
      </c>
      <c r="J9" s="168">
        <f t="shared" si="1"/>
        <v>0.1</v>
      </c>
    </row>
    <row r="10" spans="1:10">
      <c r="A10" s="156"/>
      <c r="B10" s="164"/>
      <c r="C10" s="164" t="s">
        <v>93</v>
      </c>
      <c r="D10" s="164" t="s">
        <v>77</v>
      </c>
      <c r="E10" s="204" t="s">
        <v>117</v>
      </c>
      <c r="F10" s="170">
        <v>1</v>
      </c>
      <c r="G10" s="166">
        <v>38</v>
      </c>
      <c r="H10" s="167">
        <f t="shared" si="0"/>
        <v>38</v>
      </c>
      <c r="I10" s="164">
        <v>0.1</v>
      </c>
      <c r="J10" s="168">
        <f t="shared" si="1"/>
        <v>0.1</v>
      </c>
    </row>
    <row r="12" spans="1:10">
      <c r="A12" s="205" t="s">
        <v>98</v>
      </c>
      <c r="B12" s="106"/>
    </row>
    <row r="13" ht="27" customHeight="1" spans="1:10">
      <c r="A13" s="106" t="s">
        <v>81</v>
      </c>
      <c r="B13" s="107">
        <v>30</v>
      </c>
    </row>
    <row r="14" ht="23" customHeight="1" spans="1:10">
      <c r="A14" s="106" t="s">
        <v>83</v>
      </c>
      <c r="B14" s="106" t="s">
        <v>118</v>
      </c>
    </row>
    <row r="15" ht="100.8" spans="1:10">
      <c r="A15" s="106" t="s">
        <v>25</v>
      </c>
      <c r="B15" s="119" t="s">
        <v>119</v>
      </c>
    </row>
    <row r="16" ht="22" customHeight="1" spans="1:10">
      <c r="A16" s="206" t="s">
        <v>51</v>
      </c>
      <c r="B16" s="207">
        <f>45*30+500+500</f>
        <v>2350</v>
      </c>
    </row>
    <row r="17" ht="43.2" spans="1:2">
      <c r="A17" s="106" t="s">
        <v>52</v>
      </c>
      <c r="B17" s="119" t="s">
        <v>120</v>
      </c>
    </row>
    <row r="18" ht="36" customHeight="1" spans="1:2">
      <c r="A18" s="106" t="s">
        <v>54</v>
      </c>
      <c r="B18" s="106" t="s">
        <v>121</v>
      </c>
    </row>
  </sheetData>
  <mergeCells count="2">
    <mergeCell ref="A2:A10"/>
    <mergeCell ref="B2:B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A5" sqref="A5"/>
    </sheetView>
  </sheetViews>
  <sheetFormatPr defaultColWidth="8.88888888888889" defaultRowHeight="14.4"/>
  <cols>
    <col min="1" max="1" width="29" style="108" customWidth="1"/>
    <col min="2" max="2" width="25.5555555555556" style="108" customWidth="1"/>
    <col min="3" max="3" width="8.88888888888889" style="108"/>
    <col min="4" max="4" width="24.6666666666667" style="108" customWidth="1"/>
    <col min="5" max="5" width="27.2222222222222" style="108" customWidth="1"/>
    <col min="6" max="6" width="8.88888888888889" style="108"/>
    <col min="7" max="8" width="15.7777777777778" style="108" customWidth="1"/>
    <col min="9" max="10" width="8.88888888888889" style="108"/>
    <col min="11" max="11" width="15.3333333333333" style="108" customWidth="1"/>
    <col min="12" max="16384" width="8.88888888888889" style="108"/>
  </cols>
  <sheetData>
    <row r="1" ht="28.8" spans="1:11">
      <c r="A1" s="156" t="s">
        <v>91</v>
      </c>
      <c r="B1" s="175" t="s">
        <v>122</v>
      </c>
      <c r="C1" s="176" t="s">
        <v>93</v>
      </c>
      <c r="D1" s="176" t="s">
        <v>94</v>
      </c>
      <c r="E1" s="177" t="s">
        <v>95</v>
      </c>
      <c r="F1" s="178">
        <v>2</v>
      </c>
      <c r="G1" s="179">
        <v>132631</v>
      </c>
      <c r="H1" s="179">
        <f>G1*F1</f>
        <v>265262</v>
      </c>
      <c r="I1" s="176">
        <v>10</v>
      </c>
      <c r="J1" s="180">
        <f>F1*I1</f>
        <v>20</v>
      </c>
      <c r="K1" s="181">
        <f>SUM(H1:H2)</f>
        <v>266338.8</v>
      </c>
    </row>
    <row r="2" ht="30" customHeight="1" spans="1:11">
      <c r="A2" s="164" t="s">
        <v>123</v>
      </c>
      <c r="B2" s="182"/>
      <c r="C2" s="164" t="s">
        <v>76</v>
      </c>
      <c r="D2" s="164" t="s">
        <v>77</v>
      </c>
      <c r="E2" s="165" t="s">
        <v>124</v>
      </c>
      <c r="F2" s="164">
        <v>32</v>
      </c>
      <c r="G2" s="183">
        <v>33.65</v>
      </c>
      <c r="H2" s="183">
        <f>G2*F2</f>
        <v>1076.8</v>
      </c>
      <c r="I2" s="164">
        <v>0.1</v>
      </c>
      <c r="J2" s="184">
        <f>F2*I2</f>
        <v>3.2</v>
      </c>
      <c r="K2" s="181"/>
    </row>
    <row r="5" spans="1:11">
      <c r="A5" s="185" t="s">
        <v>125</v>
      </c>
    </row>
    <row r="6" spans="1:11">
      <c r="A6" s="108" t="s">
        <v>126</v>
      </c>
    </row>
    <row r="7" spans="1:11">
      <c r="A7" s="186" t="s">
        <v>127</v>
      </c>
      <c r="B7" s="187">
        <v>30</v>
      </c>
      <c r="C7" s="186" t="s">
        <v>128</v>
      </c>
      <c r="D7" s="186"/>
    </row>
    <row r="8" spans="1:11">
      <c r="A8" s="188"/>
      <c r="B8" s="187"/>
      <c r="C8" s="186"/>
      <c r="D8" s="186"/>
    </row>
    <row r="9" ht="41.4" spans="1:11">
      <c r="A9" s="189" t="s">
        <v>129</v>
      </c>
      <c r="B9" s="190">
        <f>84*45</f>
        <v>3780</v>
      </c>
      <c r="C9" s="186"/>
      <c r="D9" s="186"/>
    </row>
    <row r="10" spans="1:11">
      <c r="A10" s="189" t="s">
        <v>130</v>
      </c>
      <c r="B10" s="190">
        <v>200</v>
      </c>
      <c r="C10" s="186"/>
      <c r="D10" s="186"/>
    </row>
    <row r="11" spans="1:11">
      <c r="A11" s="189" t="s">
        <v>131</v>
      </c>
      <c r="B11" s="190">
        <v>300</v>
      </c>
      <c r="C11" s="186"/>
      <c r="D11" s="186"/>
    </row>
    <row r="12" spans="1:11">
      <c r="A12" s="191" t="s">
        <v>132</v>
      </c>
      <c r="B12" s="190">
        <v>500</v>
      </c>
      <c r="C12" s="186"/>
      <c r="D12" s="186"/>
    </row>
    <row r="13" spans="1:11">
      <c r="A13" s="189" t="s">
        <v>133</v>
      </c>
      <c r="B13" s="190"/>
      <c r="C13" s="186"/>
      <c r="D13" s="188"/>
    </row>
    <row r="14" spans="1:11">
      <c r="A14" s="189" t="s">
        <v>134</v>
      </c>
      <c r="B14" s="190"/>
      <c r="C14" s="186"/>
      <c r="D14" s="186"/>
    </row>
    <row r="15" spans="1:11">
      <c r="A15" s="192" t="s">
        <v>135</v>
      </c>
      <c r="B15" s="193">
        <f>SUM(B9:B11)</f>
        <v>4280</v>
      </c>
      <c r="C15" s="186"/>
      <c r="D15" s="186"/>
    </row>
    <row r="16" spans="1:11">
      <c r="A16" s="189" t="s">
        <v>136</v>
      </c>
      <c r="B16" s="186"/>
      <c r="C16" s="186"/>
      <c r="D16" s="186"/>
    </row>
    <row r="17" spans="1:5">
      <c r="A17" s="191" t="s">
        <v>137</v>
      </c>
      <c r="B17" s="194">
        <f>150</f>
        <v>150</v>
      </c>
      <c r="C17" s="186"/>
      <c r="D17" s="186"/>
    </row>
    <row r="18" spans="1:5">
      <c r="A18" s="191" t="s">
        <v>138</v>
      </c>
      <c r="B18" s="194">
        <v>280</v>
      </c>
      <c r="C18" s="186"/>
      <c r="D18" s="186"/>
    </row>
    <row r="19" spans="1:5">
      <c r="A19" s="189" t="s">
        <v>139</v>
      </c>
      <c r="B19" s="194">
        <v>200</v>
      </c>
      <c r="C19" s="186"/>
      <c r="D19" s="186"/>
    </row>
    <row r="20" spans="1:5">
      <c r="A20" s="189" t="s">
        <v>140</v>
      </c>
      <c r="B20" s="194">
        <v>45</v>
      </c>
      <c r="C20" s="186"/>
      <c r="D20" s="186"/>
    </row>
    <row r="21" ht="28.8" spans="1:5">
      <c r="A21" s="191" t="s">
        <v>141</v>
      </c>
      <c r="B21" s="194">
        <v>385</v>
      </c>
      <c r="C21" s="186"/>
      <c r="D21" s="186"/>
    </row>
    <row r="22" ht="30" customHeight="1" spans="1:5">
      <c r="A22" s="191" t="s">
        <v>142</v>
      </c>
      <c r="B22" s="194">
        <v>200</v>
      </c>
      <c r="C22" s="186"/>
      <c r="D22" s="186"/>
    </row>
    <row r="23" ht="28" customHeight="1" spans="1:5">
      <c r="A23" s="189" t="s">
        <v>143</v>
      </c>
      <c r="B23" s="194">
        <v>100</v>
      </c>
      <c r="C23" s="186"/>
      <c r="D23" s="186"/>
    </row>
    <row r="24" ht="37" customHeight="1" spans="1:5">
      <c r="A24" s="189" t="s">
        <v>144</v>
      </c>
      <c r="B24" s="194">
        <v>75</v>
      </c>
      <c r="C24" s="186"/>
      <c r="D24" s="186" t="s">
        <v>145</v>
      </c>
    </row>
    <row r="25" ht="48" customHeight="1" spans="1:5">
      <c r="A25" s="195" t="s">
        <v>146</v>
      </c>
      <c r="B25" s="193">
        <f>SUM(B17:B24)*7.2</f>
        <v>10332</v>
      </c>
      <c r="C25" s="186"/>
      <c r="D25" s="186"/>
    </row>
    <row r="26" ht="43" customHeight="1" spans="1:5">
      <c r="A26" s="196" t="s">
        <v>147</v>
      </c>
      <c r="B26" s="197">
        <f>B15+B25</f>
        <v>14612</v>
      </c>
      <c r="C26" s="188" t="s">
        <v>148</v>
      </c>
      <c r="D26" s="186"/>
      <c r="E26" s="155"/>
    </row>
    <row r="27" ht="43" customHeight="1" spans="1:5">
      <c r="A27" s="198" t="s">
        <v>149</v>
      </c>
      <c r="B27" s="199">
        <f>K1*27.8464%</f>
        <v>74165.7676032</v>
      </c>
      <c r="C27" s="198" t="s">
        <v>150</v>
      </c>
      <c r="D27" s="186"/>
      <c r="E27" s="200"/>
    </row>
    <row r="28" ht="24" customHeight="1" spans="1:5">
      <c r="A28" s="198" t="s">
        <v>151</v>
      </c>
      <c r="B28" s="199">
        <f>B27*3.5%</f>
        <v>2595.801866112</v>
      </c>
      <c r="C28" s="198"/>
      <c r="D28" s="186"/>
      <c r="E28" s="200"/>
    </row>
    <row r="29" ht="39" customHeight="1" spans="1:5">
      <c r="A29" s="201" t="s">
        <v>152</v>
      </c>
      <c r="B29" s="201"/>
      <c r="C29" s="201"/>
      <c r="D29" s="186"/>
    </row>
    <row r="31" spans="1:5">
      <c r="A31" s="108" t="s">
        <v>107</v>
      </c>
    </row>
    <row r="41" spans="1:1">
      <c r="A41" s="108" t="s">
        <v>153</v>
      </c>
    </row>
  </sheetData>
  <mergeCells count="3">
    <mergeCell ref="A29:C29"/>
    <mergeCell ref="B1:B2"/>
    <mergeCell ref="K1:K2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B2" sqref="B2:B14"/>
    </sheetView>
  </sheetViews>
  <sheetFormatPr defaultColWidth="8.88888888888889" defaultRowHeight="14.4"/>
  <cols>
    <col min="1" max="1" width="20.6666666666667" style="108" customWidth="1"/>
    <col min="2" max="2" width="52.4444444444444" style="108" customWidth="1"/>
    <col min="3" max="3" width="43.3333333333333" style="108" customWidth="1"/>
    <col min="4" max="4" width="8.88888888888889" style="108"/>
    <col min="5" max="5" width="17.3333333333333" style="108" customWidth="1"/>
    <col min="6" max="6" width="8.88888888888889" style="108"/>
    <col min="7" max="7" width="17.4444444444444" style="108" customWidth="1"/>
    <col min="8" max="8" width="18.4444444444444" style="108" customWidth="1"/>
    <col min="9" max="16384" width="8.88888888888889" style="108"/>
  </cols>
  <sheetData>
    <row r="1" spans="1:10">
      <c r="A1" s="155" t="s">
        <v>154</v>
      </c>
    </row>
    <row r="2" ht="30" customHeight="1" spans="1:10">
      <c r="A2" s="156" t="s">
        <v>91</v>
      </c>
      <c r="B2" s="157" t="s">
        <v>155</v>
      </c>
      <c r="C2" s="158" t="s">
        <v>93</v>
      </c>
      <c r="D2" s="158" t="s">
        <v>94</v>
      </c>
      <c r="E2" s="159" t="s">
        <v>156</v>
      </c>
      <c r="F2" s="160">
        <v>6</v>
      </c>
      <c r="G2" s="161">
        <v>50000</v>
      </c>
      <c r="H2" s="161">
        <f t="shared" ref="H2:H14" si="0">G2*F2</f>
        <v>300000</v>
      </c>
      <c r="I2" s="158">
        <v>1.5</v>
      </c>
      <c r="J2" s="158">
        <f t="shared" ref="J2:J14" si="1">F2*I2</f>
        <v>9</v>
      </c>
    </row>
    <row r="3" ht="31" customHeight="1" spans="1:10">
      <c r="A3" s="156"/>
      <c r="B3" s="157"/>
      <c r="C3" s="158" t="s">
        <v>93</v>
      </c>
      <c r="D3" s="158" t="s">
        <v>94</v>
      </c>
      <c r="E3" s="162" t="s">
        <v>95</v>
      </c>
      <c r="F3" s="158">
        <v>2</v>
      </c>
      <c r="G3" s="161">
        <v>132631</v>
      </c>
      <c r="H3" s="163">
        <f t="shared" si="0"/>
        <v>265262</v>
      </c>
      <c r="I3" s="158">
        <v>10</v>
      </c>
      <c r="J3" s="158">
        <f t="shared" si="1"/>
        <v>20</v>
      </c>
    </row>
    <row r="4" ht="20" customHeight="1" spans="1:10">
      <c r="A4" s="156"/>
      <c r="B4" s="157"/>
      <c r="C4" s="164" t="s">
        <v>93</v>
      </c>
      <c r="D4" s="164" t="s">
        <v>77</v>
      </c>
      <c r="E4" s="165" t="s">
        <v>109</v>
      </c>
      <c r="F4" s="164">
        <v>82</v>
      </c>
      <c r="G4" s="166">
        <v>950</v>
      </c>
      <c r="H4" s="167">
        <f t="shared" si="0"/>
        <v>77900</v>
      </c>
      <c r="I4" s="164">
        <v>0.1</v>
      </c>
      <c r="J4" s="168">
        <f t="shared" si="1"/>
        <v>8.2</v>
      </c>
    </row>
    <row r="5" ht="20" customHeight="1" spans="1:10">
      <c r="A5" s="156"/>
      <c r="B5" s="157"/>
      <c r="C5" s="164" t="s">
        <v>93</v>
      </c>
      <c r="D5" s="164" t="s">
        <v>77</v>
      </c>
      <c r="E5" s="165" t="s">
        <v>111</v>
      </c>
      <c r="F5" s="164">
        <v>30</v>
      </c>
      <c r="G5" s="166">
        <v>80.7</v>
      </c>
      <c r="H5" s="167">
        <f t="shared" si="0"/>
        <v>2421</v>
      </c>
      <c r="I5" s="164">
        <v>0.1</v>
      </c>
      <c r="J5" s="168">
        <f t="shared" si="1"/>
        <v>3</v>
      </c>
    </row>
    <row r="6" ht="20" customHeight="1" spans="1:10">
      <c r="A6" s="156"/>
      <c r="B6" s="157"/>
      <c r="C6" s="164" t="s">
        <v>93</v>
      </c>
      <c r="D6" s="164" t="s">
        <v>77</v>
      </c>
      <c r="E6" s="165" t="s">
        <v>157</v>
      </c>
      <c r="F6" s="164">
        <v>49</v>
      </c>
      <c r="G6" s="166">
        <v>10.15</v>
      </c>
      <c r="H6" s="167">
        <f t="shared" si="0"/>
        <v>497.35</v>
      </c>
      <c r="I6" s="164">
        <v>0.1</v>
      </c>
      <c r="J6" s="168">
        <f t="shared" si="1"/>
        <v>4.9</v>
      </c>
    </row>
    <row r="7" ht="20" customHeight="1" spans="1:10">
      <c r="A7" s="156"/>
      <c r="B7" s="157"/>
      <c r="C7" s="164" t="s">
        <v>93</v>
      </c>
      <c r="D7" s="164" t="s">
        <v>77</v>
      </c>
      <c r="E7" s="169" t="s">
        <v>113</v>
      </c>
      <c r="F7" s="164">
        <v>66</v>
      </c>
      <c r="G7" s="166">
        <v>117</v>
      </c>
      <c r="H7" s="167">
        <f t="shared" si="0"/>
        <v>7722</v>
      </c>
      <c r="I7" s="164">
        <v>0.1</v>
      </c>
      <c r="J7" s="168">
        <f t="shared" si="1"/>
        <v>6.6</v>
      </c>
    </row>
    <row r="8" ht="20" customHeight="1" spans="1:10">
      <c r="A8" s="156"/>
      <c r="B8" s="157"/>
      <c r="C8" s="164" t="s">
        <v>93</v>
      </c>
      <c r="D8" s="164" t="s">
        <v>77</v>
      </c>
      <c r="E8" s="169" t="s">
        <v>114</v>
      </c>
      <c r="F8" s="170">
        <v>2</v>
      </c>
      <c r="G8" s="166">
        <v>20</v>
      </c>
      <c r="H8" s="167">
        <f t="shared" si="0"/>
        <v>40</v>
      </c>
      <c r="I8" s="164">
        <v>0.1</v>
      </c>
      <c r="J8" s="168">
        <f t="shared" si="1"/>
        <v>0.2</v>
      </c>
    </row>
    <row r="9" ht="20" customHeight="1" spans="1:10">
      <c r="A9" s="156"/>
      <c r="B9" s="157"/>
      <c r="C9" s="164" t="s">
        <v>93</v>
      </c>
      <c r="D9" s="164" t="s">
        <v>77</v>
      </c>
      <c r="E9" s="169" t="s">
        <v>115</v>
      </c>
      <c r="F9" s="170">
        <v>10</v>
      </c>
      <c r="G9" s="166">
        <v>25</v>
      </c>
      <c r="H9" s="167">
        <f t="shared" si="0"/>
        <v>250</v>
      </c>
      <c r="I9" s="164">
        <v>0.1</v>
      </c>
      <c r="J9" s="168">
        <f t="shared" si="1"/>
        <v>1</v>
      </c>
    </row>
    <row r="10" ht="20" customHeight="1" spans="1:10">
      <c r="A10" s="156"/>
      <c r="B10" s="157"/>
      <c r="C10" s="164" t="s">
        <v>93</v>
      </c>
      <c r="D10" s="164" t="s">
        <v>77</v>
      </c>
      <c r="E10" s="169" t="s">
        <v>116</v>
      </c>
      <c r="F10" s="170">
        <v>5</v>
      </c>
      <c r="G10" s="166">
        <v>40</v>
      </c>
      <c r="H10" s="167">
        <f t="shared" si="0"/>
        <v>200</v>
      </c>
      <c r="I10" s="164">
        <v>0.1</v>
      </c>
      <c r="J10" s="168">
        <f t="shared" si="1"/>
        <v>0.5</v>
      </c>
    </row>
    <row r="11" ht="20" customHeight="1" spans="1:10">
      <c r="A11" s="156"/>
      <c r="B11" s="157"/>
      <c r="C11" s="164" t="s">
        <v>93</v>
      </c>
      <c r="D11" s="164" t="s">
        <v>77</v>
      </c>
      <c r="E11" s="169" t="s">
        <v>117</v>
      </c>
      <c r="F11" s="170">
        <v>5</v>
      </c>
      <c r="G11" s="166">
        <v>38</v>
      </c>
      <c r="H11" s="167">
        <f t="shared" si="0"/>
        <v>190</v>
      </c>
      <c r="I11" s="164">
        <v>0.1</v>
      </c>
      <c r="J11" s="168">
        <f t="shared" si="1"/>
        <v>0.5</v>
      </c>
    </row>
    <row r="12" ht="20" customHeight="1" spans="1:10">
      <c r="A12" s="156"/>
      <c r="B12" s="157"/>
      <c r="C12" s="164" t="s">
        <v>93</v>
      </c>
      <c r="D12" s="164" t="s">
        <v>77</v>
      </c>
      <c r="E12" s="169" t="s">
        <v>158</v>
      </c>
      <c r="F12" s="170">
        <v>15</v>
      </c>
      <c r="G12" s="166">
        <v>19</v>
      </c>
      <c r="H12" s="167">
        <f t="shared" si="0"/>
        <v>285</v>
      </c>
      <c r="I12" s="164">
        <v>0.1</v>
      </c>
      <c r="J12" s="168">
        <f t="shared" si="1"/>
        <v>1.5</v>
      </c>
    </row>
    <row r="13" ht="20" customHeight="1" spans="1:10">
      <c r="A13" s="164" t="s">
        <v>159</v>
      </c>
      <c r="B13" s="157"/>
      <c r="C13" s="164" t="s">
        <v>76</v>
      </c>
      <c r="D13" s="164" t="s">
        <v>77</v>
      </c>
      <c r="E13" s="169" t="s">
        <v>160</v>
      </c>
      <c r="F13" s="164">
        <v>24</v>
      </c>
      <c r="G13" s="166">
        <v>25</v>
      </c>
      <c r="H13" s="167">
        <f t="shared" si="0"/>
        <v>600</v>
      </c>
      <c r="I13" s="164">
        <v>0.1</v>
      </c>
      <c r="J13" s="168">
        <f t="shared" si="1"/>
        <v>2.4</v>
      </c>
    </row>
    <row r="14" ht="20" customHeight="1" spans="1:10">
      <c r="A14" s="171" t="s">
        <v>161</v>
      </c>
      <c r="B14" s="157"/>
      <c r="C14" s="164" t="s">
        <v>76</v>
      </c>
      <c r="D14" s="164" t="s">
        <v>162</v>
      </c>
      <c r="E14" s="165" t="s">
        <v>163</v>
      </c>
      <c r="F14" s="164">
        <v>2</v>
      </c>
      <c r="G14" s="166">
        <v>11248</v>
      </c>
      <c r="H14" s="167">
        <f t="shared" si="0"/>
        <v>22496</v>
      </c>
      <c r="I14" s="164">
        <v>8</v>
      </c>
      <c r="J14" s="168">
        <f t="shared" si="1"/>
        <v>16</v>
      </c>
    </row>
    <row r="15" spans="1:10">
      <c r="H15" s="108">
        <f>SUM(H2:H14)</f>
        <v>677863.35</v>
      </c>
      <c r="J15" s="108">
        <f>SUM(J2:J14)</f>
        <v>73.8</v>
      </c>
    </row>
    <row r="16" ht="19" customHeight="1" spans="1:10">
      <c r="A16" s="106" t="s">
        <v>164</v>
      </c>
      <c r="B16" s="106" t="s">
        <v>165</v>
      </c>
    </row>
    <row r="17" ht="26" customHeight="1" spans="1:5">
      <c r="A17" s="106" t="s">
        <v>81</v>
      </c>
      <c r="B17" s="107">
        <v>100</v>
      </c>
    </row>
    <row r="18" ht="41" customHeight="1" spans="1:5">
      <c r="A18" s="106" t="s">
        <v>83</v>
      </c>
      <c r="B18" s="172" t="s">
        <v>166</v>
      </c>
      <c r="E18" s="173"/>
    </row>
    <row r="19" ht="264" customHeight="1" spans="1:5">
      <c r="A19" s="106" t="s">
        <v>25</v>
      </c>
      <c r="B19" s="119" t="s">
        <v>167</v>
      </c>
      <c r="C19" s="174">
        <v>8.4</v>
      </c>
    </row>
    <row r="20" ht="25" customHeight="1" spans="1:5">
      <c r="A20" s="106" t="s">
        <v>51</v>
      </c>
      <c r="B20" s="115">
        <f>100*68+200+800*8.4</f>
        <v>13720</v>
      </c>
      <c r="C20" s="155" t="s">
        <v>168</v>
      </c>
    </row>
    <row r="21" ht="30" customHeight="1" spans="1:5">
      <c r="A21" s="106" t="s">
        <v>169</v>
      </c>
      <c r="B21" s="115" t="s">
        <v>170</v>
      </c>
    </row>
    <row r="22" ht="28.8" spans="1:5">
      <c r="A22" s="106" t="s">
        <v>52</v>
      </c>
      <c r="B22" s="119" t="s">
        <v>171</v>
      </c>
    </row>
    <row r="23" ht="33" customHeight="1" spans="1:5">
      <c r="A23" s="106" t="s">
        <v>54</v>
      </c>
      <c r="B23" s="119" t="s">
        <v>172</v>
      </c>
    </row>
  </sheetData>
  <mergeCells count="2">
    <mergeCell ref="A2:A12"/>
    <mergeCell ref="B2:B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B5" sqref="B5"/>
    </sheetView>
  </sheetViews>
  <sheetFormatPr defaultColWidth="8.88888888888889" defaultRowHeight="14.4"/>
  <cols>
    <col min="1" max="1" width="16.4444444444444" style="108" customWidth="1"/>
    <col min="2" max="2" width="53.3333333333333" style="108" customWidth="1"/>
    <col min="3" max="6" width="8.88888888888889" style="108"/>
    <col min="7" max="7" width="26.6666666666667" style="108" customWidth="1"/>
    <col min="8" max="8" width="26.2222222222222" style="108" customWidth="1"/>
    <col min="9" max="16384" width="8.88888888888889" style="108"/>
  </cols>
  <sheetData>
    <row r="1" ht="26" customHeight="1" spans="1:10">
      <c r="A1" s="108" t="s">
        <v>173</v>
      </c>
    </row>
    <row r="2" ht="33" customHeight="1" spans="1:10">
      <c r="A2" s="147" t="s">
        <v>74</v>
      </c>
      <c r="B2" s="148" t="s">
        <v>174</v>
      </c>
      <c r="C2" s="149" t="s">
        <v>76</v>
      </c>
      <c r="D2" s="149" t="s">
        <v>162</v>
      </c>
      <c r="E2" s="150" t="s">
        <v>175</v>
      </c>
      <c r="F2" s="149">
        <v>1</v>
      </c>
      <c r="G2" s="151">
        <v>11906</v>
      </c>
      <c r="H2" s="152">
        <f>G2*F2</f>
        <v>11906</v>
      </c>
      <c r="I2" s="149">
        <v>8</v>
      </c>
      <c r="J2" s="153">
        <f>F2*I2</f>
        <v>8</v>
      </c>
    </row>
    <row r="4" spans="1:10">
      <c r="A4" s="106" t="s">
        <v>176</v>
      </c>
      <c r="B4" s="106"/>
    </row>
    <row r="5" spans="1:10">
      <c r="A5" s="106" t="s">
        <v>81</v>
      </c>
      <c r="B5" s="107">
        <v>8</v>
      </c>
      <c r="D5" s="108" t="s">
        <v>177</v>
      </c>
    </row>
    <row r="6" spans="1:10">
      <c r="A6" s="106" t="s">
        <v>83</v>
      </c>
      <c r="B6" s="106" t="s">
        <v>84</v>
      </c>
    </row>
    <row r="7" ht="251" customHeight="1" spans="1:10">
      <c r="A7" s="106" t="s">
        <v>25</v>
      </c>
      <c r="B7" s="119" t="s">
        <v>178</v>
      </c>
      <c r="D7" s="108" t="s">
        <v>179</v>
      </c>
    </row>
    <row r="8" ht="25" customHeight="1" spans="1:10">
      <c r="A8" s="106" t="s">
        <v>51</v>
      </c>
      <c r="B8" s="115">
        <f>((300+180+60+350)*7.2)+((95+115+125+380+280+200)*8.4)</f>
        <v>16446</v>
      </c>
    </row>
    <row r="9" ht="24" customHeight="1" spans="1:10">
      <c r="A9" s="106" t="s">
        <v>180</v>
      </c>
      <c r="B9" s="115">
        <f>(11906+350*7.2)*19%</f>
        <v>2740.94</v>
      </c>
    </row>
    <row r="10" ht="33" customHeight="1" spans="1:10">
      <c r="A10" s="106" t="s">
        <v>181</v>
      </c>
      <c r="B10" s="115">
        <f>B9*4%</f>
        <v>109.6376</v>
      </c>
    </row>
    <row r="11" ht="33" customHeight="1" spans="1:10">
      <c r="A11" s="154" t="s">
        <v>87</v>
      </c>
      <c r="B11" s="118">
        <f>B8+B9+B10</f>
        <v>19296.5776</v>
      </c>
    </row>
    <row r="12" ht="52" customHeight="1" spans="1:10">
      <c r="A12" s="106" t="s">
        <v>52</v>
      </c>
      <c r="B12" s="119" t="s">
        <v>88</v>
      </c>
    </row>
    <row r="13" ht="39" customHeight="1" spans="1:10">
      <c r="A13" s="106" t="s">
        <v>54</v>
      </c>
      <c r="B13" s="119" t="s">
        <v>182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opLeftCell="A2" workbookViewId="0">
      <selection activeCell="B1" sqref="B1"/>
    </sheetView>
  </sheetViews>
  <sheetFormatPr defaultColWidth="8.88888888888889" defaultRowHeight="14.4" outlineLevelCol="1"/>
  <cols>
    <col min="1" max="1" width="21.2222222222222" customWidth="1"/>
    <col min="2" max="2" width="50.4444444444444" customWidth="1"/>
  </cols>
  <sheetData>
    <row r="1" ht="27" customHeight="1" spans="1:2">
      <c r="A1" s="141" t="s">
        <v>183</v>
      </c>
      <c r="B1" s="142">
        <v>10433.89</v>
      </c>
    </row>
    <row r="2" ht="25" customHeight="1" spans="1:2">
      <c r="A2" s="143" t="s">
        <v>184</v>
      </c>
      <c r="B2" s="105"/>
    </row>
    <row r="3" ht="25" customHeight="1" spans="1:2">
      <c r="A3" s="105" t="s">
        <v>83</v>
      </c>
      <c r="B3" s="111" t="s">
        <v>185</v>
      </c>
    </row>
    <row r="4" ht="229" customHeight="1" spans="1:2">
      <c r="A4" s="105" t="s">
        <v>186</v>
      </c>
      <c r="B4" s="119" t="s">
        <v>187</v>
      </c>
    </row>
    <row r="5" ht="33" customHeight="1" spans="1:2">
      <c r="A5" s="105" t="s">
        <v>51</v>
      </c>
      <c r="B5" s="115">
        <f>27*100+500+150+300+200+((100+35+200+200+250)*5.6)</f>
        <v>8246</v>
      </c>
    </row>
    <row r="6" ht="40" customHeight="1" spans="1:2">
      <c r="A6" s="144" t="s">
        <v>188</v>
      </c>
      <c r="B6" s="145">
        <f>B1*9%*7.2</f>
        <v>6761.16072</v>
      </c>
    </row>
    <row r="7" ht="36" customHeight="1" spans="1:2">
      <c r="A7" s="144" t="s">
        <v>181</v>
      </c>
      <c r="B7" s="145">
        <f>200*5.6</f>
        <v>1120</v>
      </c>
    </row>
    <row r="8" ht="35" customHeight="1" spans="1:2">
      <c r="A8" s="140" t="s">
        <v>189</v>
      </c>
      <c r="B8" s="118">
        <f>B6+B5+B7</f>
        <v>16127.16072</v>
      </c>
    </row>
    <row r="9" ht="27" customHeight="1" spans="1:2">
      <c r="A9" s="105" t="s">
        <v>54</v>
      </c>
      <c r="B9" s="105" t="s">
        <v>190</v>
      </c>
    </row>
    <row r="10" ht="43" customHeight="1" spans="1:2">
      <c r="A10" s="105" t="s">
        <v>52</v>
      </c>
      <c r="B10" s="119" t="s">
        <v>191</v>
      </c>
    </row>
    <row r="11" ht="40" customHeight="1" spans="1:2">
      <c r="A11" s="146" t="s">
        <v>192</v>
      </c>
      <c r="B11" s="146"/>
    </row>
    <row r="12" ht="28" customHeight="1"/>
  </sheetData>
  <mergeCells count="1">
    <mergeCell ref="A11:B1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" sqref="C1"/>
    </sheetView>
  </sheetViews>
  <sheetFormatPr defaultColWidth="8.88888888888889" defaultRowHeight="14.4" outlineLevelCol="2"/>
  <cols>
    <col min="1" max="1" width="18.8888888888889" customWidth="1"/>
    <col min="2" max="2" width="48.8888888888889" customWidth="1"/>
  </cols>
  <sheetData>
    <row r="1" spans="1:3">
      <c r="A1" t="s">
        <v>193</v>
      </c>
      <c r="C1" t="s">
        <v>194</v>
      </c>
    </row>
    <row r="2" spans="1:3">
      <c r="A2" s="105" t="s">
        <v>81</v>
      </c>
      <c r="B2" s="107">
        <v>30</v>
      </c>
    </row>
    <row r="3" spans="1:3">
      <c r="A3" s="105" t="s">
        <v>83</v>
      </c>
      <c r="B3" s="105" t="s">
        <v>2</v>
      </c>
    </row>
    <row r="4" ht="268" customHeight="1" spans="1:3">
      <c r="A4" s="105" t="s">
        <v>25</v>
      </c>
      <c r="B4" s="119" t="s">
        <v>195</v>
      </c>
    </row>
    <row r="5" ht="23" customHeight="1" spans="1:3">
      <c r="A5" s="139" t="s">
        <v>51</v>
      </c>
      <c r="B5" s="115">
        <f>45*26+150+300+200+((35+35+45+150+150+80+180)*7.2)</f>
        <v>6680</v>
      </c>
    </row>
    <row r="6" ht="31" customHeight="1" spans="1:3">
      <c r="A6" s="139" t="s">
        <v>196</v>
      </c>
      <c r="B6" s="115">
        <f>100000*0.92*5%</f>
        <v>4600</v>
      </c>
    </row>
    <row r="7" ht="25" customHeight="1" spans="1:3">
      <c r="A7" s="139" t="s">
        <v>197</v>
      </c>
      <c r="B7" s="115">
        <f>B6*6%</f>
        <v>276</v>
      </c>
    </row>
    <row r="8" ht="26" customHeight="1" spans="1:3">
      <c r="A8" s="140" t="s">
        <v>87</v>
      </c>
      <c r="B8" s="118">
        <f>B5+B6+B7</f>
        <v>11556</v>
      </c>
    </row>
    <row r="9" ht="36" customHeight="1" spans="1:3">
      <c r="A9" s="105" t="s">
        <v>198</v>
      </c>
      <c r="B9" s="119" t="s">
        <v>199</v>
      </c>
    </row>
    <row r="10" ht="41" customHeight="1" spans="1:3">
      <c r="A10" s="105" t="s">
        <v>52</v>
      </c>
      <c r="B10" s="105" t="s">
        <v>200</v>
      </c>
    </row>
    <row r="11" ht="27" customHeight="1" spans="1:3">
      <c r="A11" s="105" t="s">
        <v>54</v>
      </c>
      <c r="B11" s="105" t="s">
        <v>121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8.88888888888889" defaultRowHeight="14.4" outlineLevelCol="3"/>
  <cols>
    <col min="1" max="1" width="17.4444444444444" customWidth="1"/>
    <col min="2" max="2" width="38.2222222222222" customWidth="1"/>
    <col min="3" max="3" width="47.7777777777778" customWidth="1"/>
  </cols>
  <sheetData>
    <row r="1" spans="1:4">
      <c r="A1" s="133" t="s">
        <v>201</v>
      </c>
      <c r="B1" s="133"/>
      <c r="C1" s="133"/>
    </row>
    <row r="2" spans="1:4">
      <c r="A2" s="133" t="s">
        <v>81</v>
      </c>
      <c r="B2" s="134">
        <v>20</v>
      </c>
      <c r="C2" s="133" t="s">
        <v>202</v>
      </c>
    </row>
    <row r="3" spans="1:4">
      <c r="A3" s="133" t="s">
        <v>45</v>
      </c>
      <c r="B3" s="134" t="s">
        <v>203</v>
      </c>
      <c r="C3" s="133"/>
    </row>
    <row r="4" spans="1:4">
      <c r="A4" s="133" t="s">
        <v>83</v>
      </c>
      <c r="B4" s="135" t="s">
        <v>2</v>
      </c>
      <c r="C4" s="133" t="s">
        <v>204</v>
      </c>
    </row>
    <row r="5" ht="124" customHeight="1" spans="1:4">
      <c r="A5" s="133" t="s">
        <v>205</v>
      </c>
      <c r="B5" s="136" t="s">
        <v>206</v>
      </c>
      <c r="C5" s="136" t="s">
        <v>207</v>
      </c>
      <c r="D5" t="s">
        <v>208</v>
      </c>
    </row>
    <row r="6" ht="27" customHeight="1" spans="1:4">
      <c r="A6" s="133" t="s">
        <v>51</v>
      </c>
      <c r="B6" s="137">
        <f>44*30+200+450*1.7</f>
        <v>2285</v>
      </c>
      <c r="C6" s="137">
        <f>30*30</f>
        <v>900</v>
      </c>
    </row>
    <row r="7" ht="33" customHeight="1" spans="1:4">
      <c r="A7" s="133" t="s">
        <v>54</v>
      </c>
      <c r="B7" s="138" t="s">
        <v>209</v>
      </c>
      <c r="C7" s="138" t="s">
        <v>210</v>
      </c>
    </row>
    <row r="8" ht="46" customHeight="1" spans="1:4">
      <c r="A8" s="133" t="s">
        <v>52</v>
      </c>
      <c r="B8" s="138" t="s">
        <v>211</v>
      </c>
      <c r="C8" s="138" t="s">
        <v>211</v>
      </c>
    </row>
    <row r="9" ht="36" customHeight="1" spans="1:4">
      <c r="A9" s="133" t="s">
        <v>212</v>
      </c>
      <c r="B9" s="133" t="s">
        <v>213</v>
      </c>
      <c r="C9" s="133" t="s">
        <v>213</v>
      </c>
    </row>
    <row r="10" ht="30" customHeight="1" spans="1:4">
      <c r="A10" s="36" t="s">
        <v>214</v>
      </c>
      <c r="B10" s="36"/>
      <c r="C10" s="36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B1"/>
    </sheetView>
  </sheetViews>
  <sheetFormatPr defaultColWidth="8.88888888888889" defaultRowHeight="14.4" outlineLevelRow="7" outlineLevelCol="1"/>
  <cols>
    <col min="1" max="1" width="22.4444444444444" customWidth="1"/>
    <col min="2" max="2" width="63.1111111111111" customWidth="1"/>
    <col min="3" max="3" width="60.5555555555556" customWidth="1"/>
  </cols>
  <sheetData>
    <row r="1" customHeight="1" spans="1:2">
      <c r="A1" s="122" t="s">
        <v>215</v>
      </c>
      <c r="B1" s="123"/>
    </row>
    <row r="2" spans="1:2">
      <c r="A2" s="124" t="s">
        <v>1</v>
      </c>
      <c r="B2" s="125" t="s">
        <v>2</v>
      </c>
    </row>
    <row r="3" ht="125" customHeight="1" spans="1:2">
      <c r="A3" s="126" t="s">
        <v>216</v>
      </c>
      <c r="B3" s="127" t="s">
        <v>217</v>
      </c>
    </row>
    <row r="4" spans="1:2">
      <c r="A4" s="128" t="s">
        <v>28</v>
      </c>
      <c r="B4" s="129">
        <f>4000+48*150+200+450*7.2</f>
        <v>14640</v>
      </c>
    </row>
    <row r="5" ht="26.4" spans="1:2">
      <c r="A5" s="130" t="s">
        <v>10</v>
      </c>
      <c r="B5" s="127" t="s">
        <v>218</v>
      </c>
    </row>
    <row r="6" spans="1:2">
      <c r="A6" s="130" t="s">
        <v>14</v>
      </c>
      <c r="B6" s="131" t="s">
        <v>219</v>
      </c>
    </row>
    <row r="7" ht="26.4" spans="1:2">
      <c r="A7" s="130" t="s">
        <v>220</v>
      </c>
      <c r="B7" s="127" t="s">
        <v>221</v>
      </c>
    </row>
    <row r="8" spans="1:2">
      <c r="A8" s="130" t="s">
        <v>222</v>
      </c>
      <c r="B8" s="132">
        <v>119764</v>
      </c>
    </row>
  </sheetData>
  <mergeCells count="1">
    <mergeCell ref="A1:B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zoomScale="85" zoomScaleNormal="85" workbookViewId="0">
      <selection activeCell="B3" sqref="B3"/>
    </sheetView>
  </sheetViews>
  <sheetFormatPr defaultColWidth="8.88888888888889" defaultRowHeight="14.4" outlineLevelCol="4"/>
  <cols>
    <col min="1" max="1" width="24.4444444444444" customWidth="1"/>
    <col min="2" max="2" width="39.7777777777778" customWidth="1"/>
    <col min="3" max="3" width="64.3333333333333" customWidth="1"/>
  </cols>
  <sheetData>
    <row r="1" spans="1:5">
      <c r="A1" t="s">
        <v>223</v>
      </c>
      <c r="C1" t="s">
        <v>224</v>
      </c>
    </row>
    <row r="2" spans="1:5">
      <c r="A2" s="105" t="s">
        <v>225</v>
      </c>
      <c r="B2" s="105"/>
      <c r="C2" s="105"/>
    </row>
    <row r="3" spans="1:5">
      <c r="A3" s="106" t="s">
        <v>226</v>
      </c>
      <c r="B3" s="107">
        <v>2600</v>
      </c>
      <c r="C3" s="107"/>
      <c r="D3" s="108"/>
    </row>
    <row r="4" spans="1:5">
      <c r="A4" s="109" t="s">
        <v>227</v>
      </c>
      <c r="B4" s="110">
        <v>3000</v>
      </c>
      <c r="C4" s="107"/>
      <c r="D4" s="108"/>
    </row>
    <row r="5" spans="1:5">
      <c r="A5" s="111" t="s">
        <v>83</v>
      </c>
      <c r="B5" s="111" t="s">
        <v>228</v>
      </c>
      <c r="C5" s="111" t="s">
        <v>2</v>
      </c>
    </row>
    <row r="6" ht="160" customHeight="1" spans="1:5">
      <c r="A6" s="105" t="s">
        <v>229</v>
      </c>
      <c r="B6" s="112" t="s">
        <v>230</v>
      </c>
      <c r="C6" s="113" t="s">
        <v>231</v>
      </c>
    </row>
    <row r="7" ht="174" customHeight="1" spans="1:5">
      <c r="A7" s="105" t="s">
        <v>229</v>
      </c>
      <c r="B7" s="114" t="s">
        <v>232</v>
      </c>
      <c r="C7" s="114" t="s">
        <v>233</v>
      </c>
      <c r="E7" t="s">
        <v>234</v>
      </c>
    </row>
    <row r="8" ht="18" customHeight="1" spans="1:5">
      <c r="A8" s="105" t="s">
        <v>235</v>
      </c>
      <c r="B8" s="115">
        <f>12.97*B4+1775+2400+5.7*B4+70*100+5500+1.5*B4*5</f>
        <v>95185</v>
      </c>
      <c r="C8" s="115">
        <f>2700+100+300+500+0.55*B4+B4*17+500+500+1000+((12800+11000+48*B4+15000+399800+6000*2+35000*4)*0.05)</f>
        <v>94980</v>
      </c>
      <c r="D8" s="116"/>
    </row>
    <row r="9" ht="23" customHeight="1" spans="1:5">
      <c r="A9" s="105" t="s">
        <v>236</v>
      </c>
      <c r="B9" s="115">
        <f>2000000*10%</f>
        <v>200000</v>
      </c>
      <c r="C9" s="115">
        <f>B9</f>
        <v>200000</v>
      </c>
      <c r="D9" s="116"/>
    </row>
    <row r="10" ht="22" customHeight="1" spans="1:5">
      <c r="A10" s="105" t="s">
        <v>237</v>
      </c>
      <c r="B10" s="115">
        <f>B9*5%</f>
        <v>10000</v>
      </c>
      <c r="C10" s="115">
        <f>B10</f>
        <v>10000</v>
      </c>
      <c r="D10" s="116"/>
    </row>
    <row r="11" ht="24" customHeight="1" spans="1:5">
      <c r="A11" s="117" t="s">
        <v>238</v>
      </c>
      <c r="B11" s="118">
        <f>B8+B9+B10</f>
        <v>305185</v>
      </c>
      <c r="C11" s="118">
        <f>C8+C9+C10</f>
        <v>304980</v>
      </c>
      <c r="D11" s="116"/>
    </row>
    <row r="12" ht="42" customHeight="1" spans="1:5">
      <c r="A12" s="105" t="s">
        <v>52</v>
      </c>
      <c r="B12" s="119" t="s">
        <v>239</v>
      </c>
      <c r="C12" s="120" t="s">
        <v>240</v>
      </c>
      <c r="D12" s="116"/>
    </row>
    <row r="13" ht="36" customHeight="1" spans="1:5">
      <c r="A13" s="105" t="s">
        <v>54</v>
      </c>
      <c r="B13" s="119" t="s">
        <v>241</v>
      </c>
      <c r="C13" s="119" t="s">
        <v>241</v>
      </c>
      <c r="D13" s="116"/>
    </row>
    <row r="14" ht="49" customHeight="1" spans="1:5">
      <c r="A14" s="105" t="s">
        <v>198</v>
      </c>
      <c r="B14" s="107" t="s">
        <v>242</v>
      </c>
      <c r="C14" s="107"/>
    </row>
    <row r="15" ht="66" customHeight="1" spans="1:5">
      <c r="C15" s="121"/>
    </row>
    <row r="16" ht="31" customHeight="1"/>
  </sheetData>
  <mergeCells count="1">
    <mergeCell ref="B14:C1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zoomScale="75" zoomScaleNormal="75" workbookViewId="0">
      <selection activeCell="B5" sqref="B5"/>
    </sheetView>
  </sheetViews>
  <sheetFormatPr defaultColWidth="9.43518518518519" defaultRowHeight="17.4" outlineLevelCol="5"/>
  <cols>
    <col min="1" max="1" width="43.4259259259259" style="44" customWidth="1"/>
    <col min="2" max="2" width="32.4074074074074" style="45" customWidth="1"/>
    <col min="3" max="3" width="43.4259259259259" style="44" customWidth="1"/>
    <col min="4" max="4" width="18.9259259259259" style="44" customWidth="1"/>
    <col min="5" max="16384" width="9.43518518518519" style="44"/>
  </cols>
  <sheetData>
    <row r="1" spans="1:5">
      <c r="A1" s="46" t="s">
        <v>243</v>
      </c>
      <c r="B1" s="47">
        <v>73</v>
      </c>
      <c r="C1" s="48"/>
    </row>
    <row r="2" spans="1:5">
      <c r="A2" s="49" t="s">
        <v>244</v>
      </c>
      <c r="B2" s="50" t="s">
        <v>75</v>
      </c>
      <c r="C2" s="51"/>
    </row>
    <row r="3" ht="21" customHeight="1" spans="1:5">
      <c r="A3" s="49" t="s">
        <v>245</v>
      </c>
      <c r="B3" s="50" t="s">
        <v>246</v>
      </c>
      <c r="C3" s="51"/>
    </row>
    <row r="4" spans="1:5">
      <c r="A4" s="49"/>
      <c r="B4" s="52"/>
      <c r="C4" s="53"/>
      <c r="D4" s="54" t="s">
        <v>247</v>
      </c>
      <c r="E4" s="45">
        <v>5.6</v>
      </c>
    </row>
    <row r="5" spans="1:5">
      <c r="A5" s="55" t="s">
        <v>248</v>
      </c>
      <c r="B5" s="56" t="s">
        <v>249</v>
      </c>
      <c r="C5" s="57" t="s">
        <v>250</v>
      </c>
      <c r="D5" s="54" t="s">
        <v>251</v>
      </c>
      <c r="E5" s="45">
        <v>7.2</v>
      </c>
    </row>
    <row r="6" spans="1:5">
      <c r="A6" s="58" t="s">
        <v>252</v>
      </c>
      <c r="B6" s="59"/>
      <c r="C6" s="60"/>
      <c r="D6" s="45" t="s">
        <v>253</v>
      </c>
      <c r="E6" s="45" t="s">
        <v>254</v>
      </c>
    </row>
    <row r="7" ht="34.8" spans="1:5">
      <c r="A7" s="61" t="s">
        <v>255</v>
      </c>
      <c r="B7" s="62" t="s">
        <v>256</v>
      </c>
      <c r="C7" s="63" t="s">
        <v>257</v>
      </c>
      <c r="D7" s="45"/>
      <c r="E7" s="45">
        <f>620</f>
        <v>620</v>
      </c>
    </row>
    <row r="8" spans="1:5">
      <c r="A8" s="61" t="s">
        <v>258</v>
      </c>
      <c r="B8" s="64" t="s">
        <v>259</v>
      </c>
      <c r="C8" s="63"/>
      <c r="D8" s="44">
        <f>50*7</f>
        <v>350</v>
      </c>
      <c r="E8" s="44" t="s">
        <v>260</v>
      </c>
    </row>
    <row r="9" spans="1:5">
      <c r="A9" s="61" t="s">
        <v>261</v>
      </c>
      <c r="B9" s="64" t="s">
        <v>262</v>
      </c>
      <c r="C9" s="65" t="s">
        <v>263</v>
      </c>
      <c r="D9" s="54" t="s">
        <v>264</v>
      </c>
    </row>
    <row r="10" spans="1:5">
      <c r="A10" s="61" t="s">
        <v>265</v>
      </c>
      <c r="B10" s="64" t="s">
        <v>266</v>
      </c>
      <c r="C10" s="65" t="s">
        <v>267</v>
      </c>
      <c r="D10" s="54" t="s">
        <v>264</v>
      </c>
    </row>
    <row r="11" ht="34.8" spans="1:5">
      <c r="A11" s="61" t="s">
        <v>268</v>
      </c>
      <c r="B11" s="64" t="s">
        <v>269</v>
      </c>
      <c r="C11" s="65" t="s">
        <v>270</v>
      </c>
      <c r="D11" s="54" t="s">
        <v>264</v>
      </c>
    </row>
    <row r="12" spans="1:5">
      <c r="A12" s="61" t="s">
        <v>271</v>
      </c>
      <c r="B12" s="66" t="s">
        <v>272</v>
      </c>
      <c r="C12" s="63" t="s">
        <v>273</v>
      </c>
      <c r="D12" s="44">
        <f>100*5.6</f>
        <v>560</v>
      </c>
    </row>
    <row r="13" ht="104.4" spans="1:5">
      <c r="A13" s="61" t="s">
        <v>274</v>
      </c>
      <c r="B13" s="67" t="s">
        <v>275</v>
      </c>
      <c r="C13" s="65" t="s">
        <v>276</v>
      </c>
      <c r="D13" s="44">
        <f>12*73</f>
        <v>876</v>
      </c>
    </row>
    <row r="14" spans="1:5">
      <c r="A14" s="61" t="s">
        <v>277</v>
      </c>
      <c r="B14" s="66" t="s">
        <v>272</v>
      </c>
      <c r="C14" s="63"/>
      <c r="D14" s="44">
        <f>100</f>
        <v>100</v>
      </c>
    </row>
    <row r="15" spans="1:5">
      <c r="A15" s="61" t="s">
        <v>278</v>
      </c>
      <c r="B15" s="64" t="s">
        <v>279</v>
      </c>
      <c r="C15" s="65" t="s">
        <v>280</v>
      </c>
      <c r="D15" s="44">
        <f>200</f>
        <v>200</v>
      </c>
    </row>
    <row r="16" spans="1:5">
      <c r="A16" s="61" t="s">
        <v>281</v>
      </c>
      <c r="B16" s="66" t="s">
        <v>282</v>
      </c>
      <c r="C16" s="63" t="s">
        <v>283</v>
      </c>
      <c r="D16" s="44">
        <f>1.5*7*7</f>
        <v>73.5</v>
      </c>
      <c r="E16" s="54" t="s">
        <v>284</v>
      </c>
    </row>
    <row r="17" spans="1:6">
      <c r="A17" s="61" t="s">
        <v>285</v>
      </c>
      <c r="B17" s="64" t="s">
        <v>286</v>
      </c>
      <c r="C17" s="65" t="s">
        <v>287</v>
      </c>
      <c r="D17" s="44">
        <f>3.5*7*2</f>
        <v>49</v>
      </c>
    </row>
    <row r="18" ht="34.8" spans="1:6">
      <c r="A18" s="61" t="s">
        <v>288</v>
      </c>
      <c r="B18" s="66" t="s">
        <v>289</v>
      </c>
      <c r="C18" s="63" t="s">
        <v>290</v>
      </c>
    </row>
    <row r="19" spans="1:6">
      <c r="A19" s="61"/>
      <c r="B19" s="68"/>
      <c r="C19" s="69"/>
    </row>
    <row r="20" spans="1:6">
      <c r="A20" s="70"/>
      <c r="B20" s="66"/>
      <c r="C20" s="63"/>
    </row>
    <row r="21" spans="1:6">
      <c r="A21" s="58" t="s">
        <v>291</v>
      </c>
      <c r="B21" s="59"/>
      <c r="C21" s="60"/>
    </row>
    <row r="22" spans="1:6">
      <c r="A22" s="61" t="s">
        <v>292</v>
      </c>
      <c r="B22" s="66" t="s">
        <v>293</v>
      </c>
      <c r="C22" s="63"/>
      <c r="E22" s="44">
        <f>50</f>
        <v>50</v>
      </c>
    </row>
    <row r="23" spans="1:6">
      <c r="A23" s="61" t="s">
        <v>273</v>
      </c>
      <c r="B23" s="66" t="s">
        <v>294</v>
      </c>
      <c r="C23" s="63" t="s">
        <v>295</v>
      </c>
      <c r="E23" s="44">
        <v>100</v>
      </c>
    </row>
    <row r="24" ht="34.8" spans="1:6">
      <c r="A24" s="61" t="s">
        <v>296</v>
      </c>
      <c r="B24" s="67" t="s">
        <v>297</v>
      </c>
      <c r="C24" s="65"/>
      <c r="E24" s="44">
        <v>300</v>
      </c>
    </row>
    <row r="25" spans="1:6">
      <c r="A25" s="61" t="s">
        <v>298</v>
      </c>
      <c r="B25" s="64" t="s">
        <v>299</v>
      </c>
      <c r="C25" s="65" t="s">
        <v>300</v>
      </c>
      <c r="E25" s="44">
        <v>100</v>
      </c>
    </row>
    <row r="26" spans="1:6">
      <c r="A26" s="61" t="s">
        <v>301</v>
      </c>
      <c r="B26" s="64" t="s">
        <v>302</v>
      </c>
      <c r="C26" s="65" t="s">
        <v>303</v>
      </c>
      <c r="D26" s="54" t="s">
        <v>304</v>
      </c>
    </row>
    <row r="27" spans="1:6">
      <c r="A27" s="61" t="s">
        <v>305</v>
      </c>
      <c r="B27" s="64" t="s">
        <v>306</v>
      </c>
      <c r="C27" s="65" t="s">
        <v>307</v>
      </c>
      <c r="D27" s="54" t="s">
        <v>264</v>
      </c>
      <c r="F27" s="44">
        <v>550</v>
      </c>
    </row>
    <row r="28" ht="34.8" spans="1:6">
      <c r="A28" s="61" t="s">
        <v>308</v>
      </c>
      <c r="B28" s="64" t="s">
        <v>309</v>
      </c>
      <c r="C28" s="65" t="s">
        <v>310</v>
      </c>
      <c r="E28" s="44">
        <v>100</v>
      </c>
    </row>
    <row r="29" spans="1:6">
      <c r="A29" s="61" t="s">
        <v>311</v>
      </c>
      <c r="B29" s="64" t="s">
        <v>312</v>
      </c>
      <c r="C29" s="65" t="s">
        <v>313</v>
      </c>
      <c r="D29" s="54" t="s">
        <v>264</v>
      </c>
      <c r="F29" s="44">
        <v>250</v>
      </c>
    </row>
    <row r="30" spans="1:6">
      <c r="A30" s="61" t="s">
        <v>314</v>
      </c>
      <c r="B30" s="64" t="s">
        <v>315</v>
      </c>
      <c r="C30" s="65"/>
      <c r="D30" s="54" t="s">
        <v>304</v>
      </c>
    </row>
    <row r="31" spans="1:6">
      <c r="A31" s="61" t="s">
        <v>316</v>
      </c>
      <c r="B31" s="64" t="s">
        <v>293</v>
      </c>
      <c r="C31" s="71"/>
      <c r="D31" s="54" t="s">
        <v>264</v>
      </c>
      <c r="F31" s="44">
        <v>50</v>
      </c>
    </row>
    <row r="32" spans="1:6">
      <c r="A32" s="61" t="s">
        <v>317</v>
      </c>
      <c r="B32" s="64" t="s">
        <v>293</v>
      </c>
      <c r="C32" s="71"/>
      <c r="D32" s="54" t="s">
        <v>264</v>
      </c>
      <c r="F32" s="44">
        <v>50</v>
      </c>
    </row>
    <row r="33" spans="1:6">
      <c r="A33" s="70"/>
      <c r="B33" s="66"/>
      <c r="C33" s="63"/>
    </row>
    <row r="34" spans="1:6">
      <c r="A34" s="58" t="s">
        <v>318</v>
      </c>
      <c r="B34" s="59"/>
      <c r="C34" s="60"/>
    </row>
    <row r="35" spans="1:6">
      <c r="A35" s="61" t="s">
        <v>273</v>
      </c>
      <c r="B35" s="64" t="s">
        <v>319</v>
      </c>
      <c r="C35" s="65" t="s">
        <v>320</v>
      </c>
      <c r="D35" s="54" t="s">
        <v>264</v>
      </c>
      <c r="F35" s="44">
        <v>100</v>
      </c>
    </row>
    <row r="36" spans="1:6">
      <c r="A36" s="61" t="s">
        <v>321</v>
      </c>
      <c r="B36" s="64" t="s">
        <v>319</v>
      </c>
      <c r="C36" s="65"/>
      <c r="D36" s="54" t="s">
        <v>264</v>
      </c>
      <c r="F36" s="44">
        <v>100</v>
      </c>
    </row>
    <row r="37" spans="1:6">
      <c r="A37" s="61" t="s">
        <v>322</v>
      </c>
      <c r="B37" s="72" t="s">
        <v>323</v>
      </c>
      <c r="C37" s="65" t="s">
        <v>324</v>
      </c>
      <c r="D37" s="54" t="s">
        <v>264</v>
      </c>
      <c r="F37" s="44">
        <v>100</v>
      </c>
    </row>
    <row r="38" spans="1:6">
      <c r="A38" s="70" t="s">
        <v>325</v>
      </c>
      <c r="B38" s="64" t="s">
        <v>326</v>
      </c>
      <c r="C38" s="65"/>
      <c r="D38" s="54" t="s">
        <v>264</v>
      </c>
      <c r="F38" s="44">
        <v>100</v>
      </c>
    </row>
    <row r="39" ht="34.8" spans="1:6">
      <c r="A39" s="61" t="s">
        <v>288</v>
      </c>
      <c r="B39" s="64" t="s">
        <v>289</v>
      </c>
      <c r="C39" s="65" t="s">
        <v>290</v>
      </c>
      <c r="D39" s="54" t="s">
        <v>264</v>
      </c>
    </row>
    <row r="40" spans="1:6">
      <c r="A40" s="70"/>
      <c r="B40" s="66"/>
      <c r="C40" s="63"/>
    </row>
    <row r="41" spans="1:6">
      <c r="A41" s="73" t="s">
        <v>327</v>
      </c>
      <c r="B41" s="74"/>
      <c r="C41" s="75"/>
    </row>
    <row r="42" spans="1:6">
      <c r="A42" s="61" t="s">
        <v>328</v>
      </c>
      <c r="B42" s="66" t="s">
        <v>329</v>
      </c>
      <c r="C42" s="63" t="s">
        <v>330</v>
      </c>
      <c r="D42" s="54" t="s">
        <v>331</v>
      </c>
    </row>
    <row r="43" spans="1:6">
      <c r="A43" s="61" t="s">
        <v>332</v>
      </c>
      <c r="B43" s="66" t="s">
        <v>329</v>
      </c>
      <c r="C43" s="63" t="s">
        <v>330</v>
      </c>
      <c r="D43" s="54" t="s">
        <v>331</v>
      </c>
    </row>
    <row r="44" spans="1:6">
      <c r="A44" s="61" t="s">
        <v>333</v>
      </c>
      <c r="B44" s="66"/>
      <c r="C44" s="63" t="s">
        <v>334</v>
      </c>
    </row>
    <row r="45" spans="1:6">
      <c r="A45" s="61" t="s">
        <v>335</v>
      </c>
      <c r="B45" s="66"/>
      <c r="C45" s="63" t="s">
        <v>334</v>
      </c>
    </row>
    <row r="46" spans="1:6">
      <c r="A46" s="61" t="s">
        <v>336</v>
      </c>
      <c r="B46" s="66"/>
      <c r="C46" s="63"/>
      <c r="D46" s="54" t="s">
        <v>337</v>
      </c>
    </row>
    <row r="47" ht="18.15" spans="1:6">
      <c r="A47" s="76"/>
      <c r="B47" s="77"/>
      <c r="C47" s="78"/>
    </row>
    <row r="48" spans="1:6">
      <c r="A48" s="79" t="s">
        <v>338</v>
      </c>
      <c r="B48" s="80"/>
      <c r="C48" s="81"/>
      <c r="D48" s="82">
        <f>2208.5*E4+1270*E5</f>
        <v>21511.6</v>
      </c>
      <c r="E48" s="83" t="s">
        <v>339</v>
      </c>
    </row>
    <row r="49" ht="18.15" spans="1:4">
      <c r="A49" s="84" t="s">
        <v>340</v>
      </c>
      <c r="B49" s="85"/>
      <c r="C49" s="86"/>
      <c r="D49" s="82">
        <f>(62000+5500)*0.05*7.2*1.05</f>
        <v>25515</v>
      </c>
    </row>
    <row r="50" spans="1:4">
      <c r="A50" s="87"/>
      <c r="B50" s="88"/>
      <c r="C50" s="89"/>
      <c r="D50" s="90"/>
    </row>
    <row r="51" spans="1:4">
      <c r="A51" s="91" t="s">
        <v>341</v>
      </c>
      <c r="B51" s="92"/>
      <c r="C51" s="93"/>
      <c r="D51" s="94"/>
    </row>
    <row r="52" spans="1:4">
      <c r="A52" s="95" t="s">
        <v>342</v>
      </c>
      <c r="B52" s="96"/>
      <c r="C52" s="97"/>
      <c r="D52" s="98"/>
    </row>
    <row r="53" spans="1:4">
      <c r="A53" s="99" t="s">
        <v>343</v>
      </c>
      <c r="B53" s="100"/>
      <c r="C53" s="101"/>
      <c r="D53" s="94"/>
    </row>
    <row r="54" spans="1:4">
      <c r="A54" s="102" t="s">
        <v>344</v>
      </c>
      <c r="B54" s="103"/>
      <c r="C54" s="104"/>
    </row>
    <row r="55" spans="1:4">
      <c r="A55" s="54"/>
    </row>
  </sheetData>
  <mergeCells count="3">
    <mergeCell ref="B1:C1"/>
    <mergeCell ref="B2:C2"/>
    <mergeCell ref="B3:C3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5" sqref="B5"/>
    </sheetView>
  </sheetViews>
  <sheetFormatPr defaultColWidth="8.88888888888889" defaultRowHeight="14.4" outlineLevelRow="6" outlineLevelCol="2"/>
  <cols>
    <col min="1" max="1" width="24.1111111111111" style="36" customWidth="1"/>
    <col min="2" max="2" width="65.3333333333333" style="36" customWidth="1"/>
    <col min="3" max="3" width="64.8888888888889" style="36" customWidth="1"/>
    <col min="4" max="16384" width="8.88888888888889" style="36"/>
  </cols>
  <sheetData>
    <row r="1" spans="1:3">
      <c r="A1" s="37" t="s">
        <v>345</v>
      </c>
      <c r="B1" s="37"/>
      <c r="C1" s="37"/>
    </row>
    <row r="2" spans="1:3">
      <c r="A2" s="38" t="s">
        <v>1</v>
      </c>
      <c r="B2" s="38" t="s">
        <v>346</v>
      </c>
      <c r="C2" s="38" t="s">
        <v>347</v>
      </c>
    </row>
    <row r="3" ht="101" customHeight="1" spans="1:3">
      <c r="A3" s="39" t="s">
        <v>345</v>
      </c>
      <c r="B3" s="40" t="s">
        <v>348</v>
      </c>
      <c r="C3" s="40" t="s">
        <v>349</v>
      </c>
    </row>
    <row r="4" ht="39.6" spans="1:3">
      <c r="A4" s="41" t="s">
        <v>10</v>
      </c>
      <c r="B4" s="42" t="s">
        <v>350</v>
      </c>
      <c r="C4" s="40" t="s">
        <v>351</v>
      </c>
    </row>
    <row r="5" ht="26.4" spans="1:3">
      <c r="A5" s="41" t="s">
        <v>14</v>
      </c>
      <c r="B5" s="42" t="s">
        <v>352</v>
      </c>
      <c r="C5" s="42" t="s">
        <v>353</v>
      </c>
    </row>
    <row r="6" ht="118.8" spans="1:3">
      <c r="A6" s="43" t="s">
        <v>220</v>
      </c>
      <c r="B6" s="42" t="s">
        <v>18</v>
      </c>
      <c r="C6" s="42" t="s">
        <v>354</v>
      </c>
    </row>
    <row r="7" spans="1:3">
      <c r="A7" s="43" t="s">
        <v>355</v>
      </c>
      <c r="B7" s="42" t="s">
        <v>356</v>
      </c>
      <c r="C7" s="42" t="s">
        <v>18</v>
      </c>
    </row>
  </sheetData>
  <mergeCells count="1">
    <mergeCell ref="A1:C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B5" sqref="B5"/>
    </sheetView>
  </sheetViews>
  <sheetFormatPr defaultColWidth="8.88888888888889" defaultRowHeight="14.4"/>
  <sheetData>
    <row r="1" spans="1:1">
      <c r="A1" t="s">
        <v>357</v>
      </c>
    </row>
    <row r="2" spans="1:1">
      <c r="A2" t="s">
        <v>358</v>
      </c>
    </row>
    <row r="3" spans="1:1">
      <c r="A3" t="s">
        <v>359</v>
      </c>
    </row>
    <row r="4" spans="1:1">
      <c r="A4" t="s">
        <v>360</v>
      </c>
    </row>
    <row r="5" spans="1:1">
      <c r="A5" t="s">
        <v>361</v>
      </c>
    </row>
    <row r="7" spans="1:1">
      <c r="A7" t="s">
        <v>362</v>
      </c>
    </row>
    <row r="8" spans="1:1">
      <c r="A8" t="s">
        <v>363</v>
      </c>
    </row>
    <row r="10" spans="1:1">
      <c r="A10" t="s">
        <v>364</v>
      </c>
    </row>
    <row r="11" spans="1:1">
      <c r="A11" t="s">
        <v>365</v>
      </c>
    </row>
    <row r="12" spans="1:1">
      <c r="A12" t="s">
        <v>366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opLeftCell="A7" workbookViewId="0">
      <selection activeCell="E13" sqref="E13"/>
    </sheetView>
  </sheetViews>
  <sheetFormatPr defaultColWidth="8.88888888888889" defaultRowHeight="14.4"/>
  <sheetData>
    <row r="1" spans="1:1">
      <c r="A1" t="s">
        <v>367</v>
      </c>
    </row>
    <row r="3" spans="1:1">
      <c r="A3" t="s">
        <v>368</v>
      </c>
    </row>
    <row r="5" spans="1:1">
      <c r="A5" t="s">
        <v>369</v>
      </c>
    </row>
    <row r="6" spans="1:1">
      <c r="A6" t="s">
        <v>130</v>
      </c>
    </row>
    <row r="7" spans="1:1">
      <c r="A7" t="s">
        <v>370</v>
      </c>
    </row>
    <row r="8" spans="1:1">
      <c r="A8" t="s">
        <v>133</v>
      </c>
    </row>
    <row r="9" spans="1:1">
      <c r="A9" t="s">
        <v>371</v>
      </c>
    </row>
    <row r="10" spans="1:1">
      <c r="A10" t="s">
        <v>372</v>
      </c>
    </row>
    <row r="12" spans="1:1">
      <c r="A12" t="s">
        <v>373</v>
      </c>
    </row>
    <row r="14" spans="1:1">
      <c r="A14" t="s">
        <v>374</v>
      </c>
    </row>
    <row r="15" spans="1:1">
      <c r="A15" t="s">
        <v>375</v>
      </c>
    </row>
    <row r="16" spans="1:1">
      <c r="A16" t="s">
        <v>376</v>
      </c>
    </row>
    <row r="17" spans="1:1">
      <c r="A17" t="s">
        <v>377</v>
      </c>
    </row>
    <row r="18" spans="1:1">
      <c r="A18" t="s">
        <v>378</v>
      </c>
    </row>
    <row r="19" spans="1:1">
      <c r="A19" t="s">
        <v>379</v>
      </c>
    </row>
    <row r="20" spans="1:1">
      <c r="A20" t="s">
        <v>380</v>
      </c>
    </row>
    <row r="21" spans="1:1">
      <c r="A21" t="s">
        <v>143</v>
      </c>
    </row>
    <row r="22" spans="1:1">
      <c r="A22" t="s">
        <v>381</v>
      </c>
    </row>
    <row r="25" spans="1:1">
      <c r="A25" t="s">
        <v>382</v>
      </c>
    </row>
    <row r="27" spans="1:1">
      <c r="A27" t="s">
        <v>383</v>
      </c>
    </row>
    <row r="29" spans="1:1">
      <c r="A29" t="s">
        <v>384</v>
      </c>
    </row>
    <row r="30" spans="1:1">
      <c r="A30" t="s">
        <v>361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topLeftCell="A16" workbookViewId="0">
      <selection activeCell="A22" sqref="A22"/>
    </sheetView>
  </sheetViews>
  <sheetFormatPr defaultColWidth="8.88888888888889" defaultRowHeight="14.4" outlineLevelCol="3"/>
  <cols>
    <col min="1" max="4" width="20.7777777777778" customWidth="1"/>
  </cols>
  <sheetData>
    <row r="1" spans="1:4">
      <c r="A1" s="1" t="s">
        <v>385</v>
      </c>
      <c r="B1" s="1" t="s">
        <v>386</v>
      </c>
      <c r="C1" s="1"/>
      <c r="D1" s="2"/>
    </row>
    <row r="2" spans="1:4">
      <c r="A2" s="2" t="s">
        <v>387</v>
      </c>
      <c r="B2" s="1"/>
      <c r="C2" s="1"/>
      <c r="D2" s="1"/>
    </row>
    <row r="3" spans="1:4">
      <c r="A3" s="2" t="s">
        <v>39</v>
      </c>
      <c r="B3" s="1">
        <v>17000</v>
      </c>
      <c r="C3" s="1" t="s">
        <v>388</v>
      </c>
      <c r="D3" s="1"/>
    </row>
    <row r="4" spans="1:4">
      <c r="A4" s="3" t="s">
        <v>1</v>
      </c>
      <c r="B4" s="3" t="s">
        <v>389</v>
      </c>
      <c r="C4" s="3" t="s">
        <v>390</v>
      </c>
      <c r="D4" s="3" t="s">
        <v>391</v>
      </c>
    </row>
    <row r="5" spans="1:4">
      <c r="A5" s="3"/>
      <c r="B5" s="4" t="s">
        <v>392</v>
      </c>
      <c r="C5" s="5"/>
      <c r="D5" s="6"/>
    </row>
    <row r="6" spans="1:4">
      <c r="A6" s="3" t="s">
        <v>393</v>
      </c>
      <c r="B6" s="7">
        <f>10+B3*1.3</f>
        <v>22110</v>
      </c>
      <c r="C6" s="8"/>
      <c r="D6" s="9"/>
    </row>
    <row r="7" ht="140.4" spans="1:4">
      <c r="A7" s="3" t="s">
        <v>386</v>
      </c>
      <c r="B7" s="10" t="s">
        <v>394</v>
      </c>
      <c r="C7" s="10" t="s">
        <v>395</v>
      </c>
      <c r="D7" s="10" t="s">
        <v>396</v>
      </c>
    </row>
    <row r="8" spans="1:4">
      <c r="A8" s="3" t="s">
        <v>135</v>
      </c>
      <c r="B8" s="11">
        <f>2.5*B3+150+B6</f>
        <v>64760</v>
      </c>
      <c r="C8" s="11">
        <f>1500+4.5*B3+B6</f>
        <v>100110</v>
      </c>
      <c r="D8" s="11">
        <f>B6+400+500+200*7.3+12000*2</f>
        <v>48470</v>
      </c>
    </row>
    <row r="9" ht="64.8" spans="1:4">
      <c r="A9" s="3" t="s">
        <v>10</v>
      </c>
      <c r="B9" s="12" t="s">
        <v>397</v>
      </c>
      <c r="C9" s="3" t="s">
        <v>398</v>
      </c>
      <c r="D9" s="10" t="s">
        <v>399</v>
      </c>
    </row>
    <row r="10" ht="32.4" spans="1:4">
      <c r="A10" s="3" t="s">
        <v>400</v>
      </c>
      <c r="B10" s="13" t="s">
        <v>401</v>
      </c>
      <c r="C10" s="14"/>
      <c r="D10" s="10" t="s">
        <v>402</v>
      </c>
    </row>
    <row r="11" ht="51" customHeight="1" spans="1:4">
      <c r="A11" s="2" t="s">
        <v>14</v>
      </c>
      <c r="B11" s="15" t="s">
        <v>403</v>
      </c>
      <c r="C11" s="15"/>
      <c r="D11" s="15"/>
    </row>
    <row r="15" spans="1:4">
      <c r="A15" s="16" t="s">
        <v>404</v>
      </c>
      <c r="B15" s="16" t="s">
        <v>405</v>
      </c>
      <c r="C15" s="16"/>
      <c r="D15" s="17"/>
    </row>
    <row r="16" spans="1:4">
      <c r="A16" s="17" t="s">
        <v>387</v>
      </c>
      <c r="B16" s="16" t="e">
        <f>#REF!</f>
        <v>#REF!</v>
      </c>
      <c r="C16" s="16"/>
      <c r="D16" s="16"/>
    </row>
    <row r="17" spans="1:4">
      <c r="A17" s="17" t="s">
        <v>39</v>
      </c>
      <c r="B17" s="16">
        <v>27000</v>
      </c>
      <c r="C17" s="16" t="s">
        <v>388</v>
      </c>
      <c r="D17" s="16"/>
    </row>
    <row r="18" spans="1:4">
      <c r="A18" s="17"/>
      <c r="B18" s="16"/>
      <c r="C18" s="16"/>
      <c r="D18" s="16"/>
    </row>
    <row r="19" spans="1:4">
      <c r="A19" s="18"/>
      <c r="B19" s="18" t="s">
        <v>389</v>
      </c>
      <c r="C19" s="18" t="s">
        <v>390</v>
      </c>
      <c r="D19" s="18" t="s">
        <v>391</v>
      </c>
    </row>
    <row r="20" spans="1:4">
      <c r="A20" s="18"/>
      <c r="B20" s="19" t="s">
        <v>406</v>
      </c>
      <c r="C20" s="20"/>
      <c r="D20" s="21"/>
    </row>
    <row r="21" spans="1:4">
      <c r="A21" s="18" t="s">
        <v>393</v>
      </c>
      <c r="B21" s="22">
        <v>6000</v>
      </c>
      <c r="C21" s="23"/>
      <c r="D21" s="24"/>
    </row>
    <row r="22" ht="330" customHeight="1" spans="1:4">
      <c r="A22" s="18" t="s">
        <v>405</v>
      </c>
      <c r="B22" s="25" t="s">
        <v>407</v>
      </c>
      <c r="C22" s="25" t="s">
        <v>408</v>
      </c>
      <c r="D22" s="26" t="s">
        <v>409</v>
      </c>
    </row>
    <row r="23" spans="1:4">
      <c r="A23" s="18" t="s">
        <v>135</v>
      </c>
      <c r="B23" s="27">
        <f>3*B17+150+B21</f>
        <v>87150</v>
      </c>
      <c r="C23" s="27">
        <f>1500+4.5*B17+B21</f>
        <v>129000</v>
      </c>
      <c r="D23" s="27">
        <f>400+500+200*7.3+12000*2+B21</f>
        <v>32360</v>
      </c>
    </row>
    <row r="24" ht="108" spans="1:4">
      <c r="A24" s="18" t="s">
        <v>10</v>
      </c>
      <c r="B24" s="28" t="s">
        <v>397</v>
      </c>
      <c r="C24" s="18" t="s">
        <v>398</v>
      </c>
      <c r="D24" s="29" t="s">
        <v>410</v>
      </c>
    </row>
    <row r="25" ht="32.4" spans="1:4">
      <c r="A25" s="30" t="s">
        <v>400</v>
      </c>
      <c r="B25" s="31" t="s">
        <v>401</v>
      </c>
      <c r="C25" s="32"/>
      <c r="D25" s="33" t="s">
        <v>402</v>
      </c>
    </row>
    <row r="26" ht="54" customHeight="1" spans="1:4">
      <c r="A26" s="34" t="s">
        <v>14</v>
      </c>
      <c r="B26" s="35" t="s">
        <v>411</v>
      </c>
      <c r="C26" s="35"/>
      <c r="D26" s="35"/>
    </row>
  </sheetData>
  <mergeCells count="8">
    <mergeCell ref="B5:D5"/>
    <mergeCell ref="B6:D6"/>
    <mergeCell ref="B10:C10"/>
    <mergeCell ref="B11:D11"/>
    <mergeCell ref="B20:D20"/>
    <mergeCell ref="B21:D21"/>
    <mergeCell ref="B25:C25"/>
    <mergeCell ref="B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国内-西班牙海运专线</vt:lpstr>
      <vt:lpstr>国内-新加坡&amp; 英国</vt:lpstr>
      <vt:lpstr>国内-澳门询价</vt:lpstr>
      <vt:lpstr>国内-澳洲</vt:lpstr>
      <vt:lpstr>国内-香港</vt:lpstr>
      <vt:lpstr>达拉斯-新加坡</vt:lpstr>
      <vt:lpstr>深圳-新加坡一般贸易</vt:lpstr>
      <vt:lpstr>深圳-新加坡专线成本</vt:lpstr>
      <vt:lpstr>国内-达拉斯贸代</vt:lpstr>
      <vt:lpstr>国内-法兰克福专线</vt:lpstr>
      <vt:lpstr>达拉斯-法兰克福</vt:lpstr>
      <vt:lpstr>香港-新加坡</vt:lpstr>
      <vt:lpstr>香港-马来-正清</vt:lpstr>
      <vt:lpstr>香港-马来-专线</vt:lpstr>
      <vt:lpstr>香港-菲律宾</vt:lpstr>
      <vt:lpstr>日本</vt:lpstr>
      <vt:lpstr>新加坡-柔佛</vt:lpstr>
      <vt:lpstr>北京-沙特</vt:lpstr>
      <vt:lpstr>国内-荷兰</vt:lpstr>
      <vt:lpstr>国内-荷兰2</vt:lpstr>
      <vt:lpstr>国内-越南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ZWB</dc:creator>
  <cp:lastModifiedBy>弑心</cp:lastModifiedBy>
  <dcterms:created xsi:type="dcterms:W3CDTF">2025-10-23T06:18:00Z</dcterms:created>
  <dcterms:modified xsi:type="dcterms:W3CDTF">2026-01-06T07:54:35Z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697F5195C1AD4E32AE6DD61A123EB063_11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